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Dokument\"/>
    </mc:Choice>
  </mc:AlternateContent>
  <xr:revisionPtr revIDLastSave="0" documentId="8_{493306B6-455A-4CAD-B6E4-3B03CD06765E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rofil SMP IT SYAIKH ABDURR" sheetId="1" state="hidden" r:id="rId1"/>
    <sheet name="PTK" sheetId="2" r:id="rId2"/>
    <sheet name="Peserta Didik" sheetId="3" state="hidden" r:id="rId3"/>
    <sheet name="Rombongan Belajar" sheetId="4" state="hidden" r:id="rId4"/>
    <sheet name="Prasarana" sheetId="5" state="hidden" r:id="rId5"/>
    <sheet name="Sarana" sheetId="6" state="hidden" r:id="rId6"/>
    <sheet name="Blockgrant" sheetId="7" state="hidden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I15" i="3"/>
  <c r="H15" i="3"/>
  <c r="J14" i="3"/>
  <c r="J13" i="3"/>
  <c r="J12" i="3"/>
  <c r="J11" i="3"/>
  <c r="J10" i="3"/>
  <c r="J9" i="3"/>
  <c r="J8" i="3"/>
  <c r="A43" i="1"/>
  <c r="A44" i="1" s="1"/>
  <c r="A45" i="1" s="1"/>
  <c r="A42" i="1"/>
  <c r="A41" i="1"/>
  <c r="A37" i="1"/>
  <c r="A38" i="1" s="1"/>
  <c r="A36" i="1"/>
  <c r="A5" i="1"/>
  <c r="A6" i="1" s="1"/>
  <c r="A7" i="1" s="1"/>
  <c r="A8" i="1" s="1"/>
  <c r="A16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<sst xmlns="http://schemas.openxmlformats.org/spreadsheetml/2006/main" count="820" uniqueCount="412">
  <si>
    <t>Profil Sekolah</t>
  </si>
  <si>
    <t>1. Identitas Sekolah</t>
  </si>
  <si>
    <t>Nama Sekolah</t>
  </si>
  <si>
    <t>:</t>
  </si>
  <si>
    <t>SMP IT SYAIKH ABDURRAHMAN KOTARAJA</t>
  </si>
  <si>
    <t>NPSN</t>
  </si>
  <si>
    <t>Jenjang Pendidikan</t>
  </si>
  <si>
    <t>SMP</t>
  </si>
  <si>
    <t>Status Sekolah</t>
  </si>
  <si>
    <t xml:space="preserve">: </t>
  </si>
  <si>
    <t>Swasta</t>
  </si>
  <si>
    <t>Alamat Sekolah</t>
  </si>
  <si>
    <t>Jln. TGH Lalu Abdurrahman Kotaraja</t>
  </si>
  <si>
    <t>RT / RW</t>
  </si>
  <si>
    <t>/</t>
  </si>
  <si>
    <t>Kode Pos</t>
  </si>
  <si>
    <t>Kelurahan</t>
  </si>
  <si>
    <t>Kotaraja</t>
  </si>
  <si>
    <t>Kecamatan</t>
  </si>
  <si>
    <t>Kec. Sikur</t>
  </si>
  <si>
    <t>Kabupaten/Kota</t>
  </si>
  <si>
    <t>Kab. Lombok Timur</t>
  </si>
  <si>
    <t>Provinsi</t>
  </si>
  <si>
    <t>Prov. Nusa Tenggara Barat</t>
  </si>
  <si>
    <t>Negara</t>
  </si>
  <si>
    <t>Indonesia</t>
  </si>
  <si>
    <t>Posisi Geografis</t>
  </si>
  <si>
    <t>Lintang</t>
  </si>
  <si>
    <t>Bujur</t>
  </si>
  <si>
    <t>3. Data Pelengkap</t>
  </si>
  <si>
    <t>SK Pendirian Sekolah</t>
  </si>
  <si>
    <t>421/1788.4/DIKBUD.III/2019</t>
  </si>
  <si>
    <t>Tanggal SK Pendirian</t>
  </si>
  <si>
    <t>2019-08-14</t>
  </si>
  <si>
    <t>Status Kepemilikan</t>
  </si>
  <si>
    <t>Yayasan</t>
  </si>
  <si>
    <t>SK Izin Operasional</t>
  </si>
  <si>
    <t>Tgl SK Izin Operasional</t>
  </si>
  <si>
    <t>Kebutuhan Khusus Dilayani</t>
  </si>
  <si>
    <t>Nomor Rekening</t>
  </si>
  <si>
    <t>Nama Bank</t>
  </si>
  <si>
    <t>nama_bank</t>
  </si>
  <si>
    <t>Cabang KCP/Unit</t>
  </si>
  <si>
    <t>cabang</t>
  </si>
  <si>
    <t>Rekening Atas Nama</t>
  </si>
  <si>
    <t>rek_atas_nama</t>
  </si>
  <si>
    <t>MBS</t>
  </si>
  <si>
    <t>Tidak</t>
  </si>
  <si>
    <t>Iuran Tahunan</t>
  </si>
  <si>
    <t>Iuran Bulanan</t>
  </si>
  <si>
    <t>Nama Wajib Pajak</t>
  </si>
  <si>
    <t>YAY SYAIKH ABDURRAHMAN</t>
  </si>
  <si>
    <t>NPWP</t>
  </si>
  <si>
    <t xml:space="preserve">317077683915000          </t>
  </si>
  <si>
    <t>3. Kontak Sekolah</t>
  </si>
  <si>
    <t>Nomor Telepon</t>
  </si>
  <si>
    <t>081907844484</t>
  </si>
  <si>
    <t>Nomor Fax</t>
  </si>
  <si>
    <t>Email</t>
  </si>
  <si>
    <t>smpitsyaikhabdurrahmankotaraja@gmail.com</t>
  </si>
  <si>
    <t>Website</t>
  </si>
  <si>
    <t>http://smpitsyaikhabdurrahmankotaraja.mysch.id</t>
  </si>
  <si>
    <t>4. Data Periodik</t>
  </si>
  <si>
    <t>Waktu Penyelenggaraan</t>
  </si>
  <si>
    <t>Pagi/6 hari</t>
  </si>
  <si>
    <t>Bersedia Menerima Bos?</t>
  </si>
  <si>
    <t>Ya</t>
  </si>
  <si>
    <t>Sertifikasi ISO</t>
  </si>
  <si>
    <t>Belum Bersertifikat</t>
  </si>
  <si>
    <t>Sumber Listrik</t>
  </si>
  <si>
    <t>PLN</t>
  </si>
  <si>
    <t>Total Daya Listrik (watt)</t>
  </si>
  <si>
    <t>Akses Internet</t>
  </si>
  <si>
    <t>XL</t>
  </si>
  <si>
    <t>5. Sanitasi</t>
  </si>
  <si>
    <t>Sustainable Development Goals (SDG)</t>
  </si>
  <si>
    <t>Sumber air</t>
  </si>
  <si>
    <t>Sumur terlindungi</t>
  </si>
  <si>
    <t>Sumber air minum</t>
  </si>
  <si>
    <t>Disediakan oleh sekolah</t>
  </si>
  <si>
    <t>Kecukupan air bersih</t>
  </si>
  <si>
    <t>Cukup sepanjang waktu</t>
  </si>
  <si>
    <t>Sekolah menyediakan jamban yang dilengkapi dengan fasilitas pendukung untuk digunakan oleh siswa berkebutuhan khusus</t>
  </si>
  <si>
    <t>Tipe jamban</t>
  </si>
  <si>
    <t>Leher angsa (toilet duduk/jongkok)</t>
  </si>
  <si>
    <t>Sekolah menyediakan pembalut cadangan</t>
  </si>
  <si>
    <t>Tidak ada</t>
  </si>
  <si>
    <t>Jumlah hari dalam seminggu siswa mengikuti kegiatan cuci tangan berkelompok</t>
  </si>
  <si>
    <t>5 hari</t>
  </si>
  <si>
    <t>Jumlah tempat cuci tangan</t>
  </si>
  <si>
    <t>Jumlah tempat cuci tangan rusak</t>
  </si>
  <si>
    <t>Apakah sabun dan air mengalir pada tempat cuci tangan</t>
  </si>
  <si>
    <t>Sekolah memiiki saluran pembuangan air limbah dari jamban</t>
  </si>
  <si>
    <t>Ada saluran pembuangan air limbah ke tangki septik atau IPAL</t>
  </si>
  <si>
    <t>Sekolah pernah menguras tangki septik dalam 3 hingga 5 tahun terakhir dengan truk/motor sedot tinja</t>
  </si>
  <si>
    <t>Tidak/Tidak tahu</t>
  </si>
  <si>
    <t>Stratifikasi UKS</t>
  </si>
  <si>
    <t>Sekolah memiliki selokan untuk menghindari genangan air</t>
  </si>
  <si>
    <t>Sekolah menyediakan tempat sampah di setiap ruang kelas (Sesuai permendikbud tentang standar sarpras)</t>
  </si>
  <si>
    <t>Sekolah menyediakan tempat sampah tertutup di setiap unit jamban perempuan</t>
  </si>
  <si>
    <t>Sekolah menyediakan cermin di setiap unit jamban perempuan</t>
  </si>
  <si>
    <t>Sekolah memiliki tempat pembuangan sampah sementara (TPS) yang tertutup</t>
  </si>
  <si>
    <t>Sampah dari tempat pembuangan sampah sementara diangkut secara rutin</t>
  </si>
  <si>
    <t>Ada perencanaan dan penganggaran untuk kegiatan pemeliharaan dan perawatan sanitasi sekolah</t>
  </si>
  <si>
    <t>Ada kegiatan rutin untuk melibatkan siswa untuk memelihara dan merawat fasilitas sanitasi di sekolah</t>
  </si>
  <si>
    <t>Ada kemitraan dengan pihak luar untuk sanitasi sekolah</t>
  </si>
  <si>
    <t>Ada, dengan pemerintah daerah</t>
  </si>
  <si>
    <t>Ada, dengan perusahaan swasta</t>
  </si>
  <si>
    <t>✓</t>
  </si>
  <si>
    <t>Ada, dengan puskesmas</t>
  </si>
  <si>
    <t>Ada, dengan lembaga non-pemerintah</t>
  </si>
  <si>
    <t>Jumlah jamban dapat digunakan</t>
  </si>
  <si>
    <t>Jamban laki-laki</t>
  </si>
  <si>
    <t>Jamban perempuan</t>
  </si>
  <si>
    <t>Jamban bersama</t>
  </si>
  <si>
    <t>Jumlah jamban tidak dapat digunakan</t>
  </si>
  <si>
    <t>Sekolah memiliki kegiatan dan media komunikasi, informasi dan edukasi (KIE) tentang sanitasi sekolah</t>
  </si>
  <si>
    <t>Variabel</t>
  </si>
  <si>
    <t>Kegiatan dan Media Komunikasi, Informasi dan Edukasi (KIE)</t>
  </si>
  <si>
    <t>Guru</t>
  </si>
  <si>
    <t>Ruang Kelas</t>
  </si>
  <si>
    <t>Toilet</t>
  </si>
  <si>
    <t>Selasar</t>
  </si>
  <si>
    <t>Ruang UKS</t>
  </si>
  <si>
    <t>Kantin</t>
  </si>
  <si>
    <t>Cuci tangan pakai sabun</t>
  </si>
  <si>
    <t>Kebersihan dan kesehatan</t>
  </si>
  <si>
    <t>Pemeliharaan dan perawatan toilet</t>
  </si>
  <si>
    <t>Keamanan pangan</t>
  </si>
  <si>
    <t>Ayo minum air</t>
  </si>
  <si>
    <t>Daftar Pendidik dan Tenaga Kependidikan</t>
  </si>
  <si>
    <t>Kecamatan Kec. Sikur, Kabupaten Kab. Lombok Timur, Provinsi Prov. Nusa Tenggara Barat</t>
  </si>
  <si>
    <t>Tanggal Unduh: 2026-07-22 07:16:52</t>
  </si>
  <si>
    <t>Pengunduh: MUHAMAD HARIANDI (smpitsyaikhabdurrahmankotaraja@gmail.com)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</si>
  <si>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</si>
  <si>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</si>
  <si>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</si>
  <si>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</si>
  <si>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</si>
  <si>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</si>
  <si>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</si>
  <si>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</si>
  <si>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</si>
  <si>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Keterangan</t>
  </si>
  <si>
    <t>NIK</t>
  </si>
  <si>
    <t>Jabatan PTK</t>
  </si>
  <si>
    <t>Gelar Depan</t>
  </si>
  <si>
    <t>Gelar Belakang</t>
  </si>
  <si>
    <t>Jenjang</t>
  </si>
  <si>
    <t>Jurusan/Prodi</t>
  </si>
  <si>
    <t>Sertifikasi</t>
  </si>
  <si>
    <t>TMT Kerja</t>
  </si>
  <si>
    <t>Tugas Tambahan</t>
  </si>
  <si>
    <t>Mengajar</t>
  </si>
  <si>
    <t>Jam Tugas 
Tambahan</t>
  </si>
  <si>
    <t>JJM</t>
  </si>
  <si>
    <t>Total JJM</t>
  </si>
  <si>
    <t>Siswa</t>
  </si>
  <si>
    <t>Kompetensi</t>
  </si>
  <si>
    <t>Baiq Novanny Sekarwangi</t>
  </si>
  <si>
    <t>4933769670230232</t>
  </si>
  <si>
    <t>P</t>
  </si>
  <si>
    <t>1991-06-01</t>
  </si>
  <si>
    <t>GTY/PTY</t>
  </si>
  <si>
    <t>-, -, -</t>
  </si>
  <si>
    <t>S.Pd</t>
  </si>
  <si>
    <t>S1</t>
  </si>
  <si>
    <t>Biologi</t>
  </si>
  <si>
    <t>Ilmu Pengetahuan Alam (IPA)</t>
  </si>
  <si>
    <t>2019-07-06</t>
  </si>
  <si>
    <t>Kepala Laboratorium, Bendahara BOS/BOP</t>
  </si>
  <si>
    <t>5203044106910003</t>
  </si>
  <si>
    <t>Guru IPA</t>
  </si>
  <si>
    <t>BQ. SALMIATUN YULIANA</t>
  </si>
  <si>
    <t>2057777678230183</t>
  </si>
  <si>
    <t>GUNUNG SIU</t>
  </si>
  <si>
    <t>1999-07-25</t>
  </si>
  <si>
    <t>Bahasa Inggris</t>
  </si>
  <si>
    <t>2022-07-11</t>
  </si>
  <si>
    <t>Kepala Perpustakaan</t>
  </si>
  <si>
    <t>5203046507990002</t>
  </si>
  <si>
    <t>Guru Bahasa Inggris</t>
  </si>
  <si>
    <t>EDDY RAGA PUTRA</t>
  </si>
  <si>
    <t>L</t>
  </si>
  <si>
    <t>GUNUNG SEPANG</t>
  </si>
  <si>
    <t>1991-08-21</t>
  </si>
  <si>
    <t>Tenaga Kependidikan</t>
  </si>
  <si>
    <t>A.Md.Kom</t>
  </si>
  <si>
    <t>D3</t>
  </si>
  <si>
    <t>Teknik Informatika</t>
  </si>
  <si>
    <t>5203041208910002</t>
  </si>
  <si>
    <t>Tenaga Administrasi Sekolah</t>
  </si>
  <si>
    <t>HAEKAL FIKRI ANSORI</t>
  </si>
  <si>
    <t>KOTARAJA</t>
  </si>
  <si>
    <t>2000-11-24</t>
  </si>
  <si>
    <t>Pendidikan Agama Islam</t>
  </si>
  <si>
    <t>2025-07-14</t>
  </si>
  <si>
    <t>5203042411000003</t>
  </si>
  <si>
    <t>Guru Agama Islam</t>
  </si>
  <si>
    <t>HERIADI</t>
  </si>
  <si>
    <t>9563775676130383</t>
  </si>
  <si>
    <t>LOMBOK TIMUR</t>
  </si>
  <si>
    <t>1997-12-31</t>
  </si>
  <si>
    <t>S.Pd.Kom</t>
  </si>
  <si>
    <t>Informatika</t>
  </si>
  <si>
    <t>Wali kelas, Pembina Ekstrakurikuler, Guru wali</t>
  </si>
  <si>
    <t>5203053112970081</t>
  </si>
  <si>
    <t>Guru TIK</t>
  </si>
  <si>
    <t>L. Bagus Budi Putranom</t>
  </si>
  <si>
    <t>0562769670130103</t>
  </si>
  <si>
    <t>1991-12-30</t>
  </si>
  <si>
    <t>Bimbingan dan Konseling (Konselor)</t>
  </si>
  <si>
    <t>Bimbingan dan Konseling</t>
  </si>
  <si>
    <t>2015-07-01</t>
  </si>
  <si>
    <t>Guru wali, Wakil Kepala Sekolah</t>
  </si>
  <si>
    <t>5203043012910007</t>
  </si>
  <si>
    <t>Guru Bimbingan Konseling</t>
  </si>
  <si>
    <t>Lalu Fauzan Azima</t>
  </si>
  <si>
    <t>5642765666130272</t>
  </si>
  <si>
    <t>1987-03-10</t>
  </si>
  <si>
    <t>S.Pd.I</t>
  </si>
  <si>
    <t>5203041003870002</t>
  </si>
  <si>
    <t>Guru Bahasa Arab</t>
  </si>
  <si>
    <t>Nasrullah</t>
  </si>
  <si>
    <t>8839765666130272</t>
  </si>
  <si>
    <t>1987-05-07</t>
  </si>
  <si>
    <t>Kepala Sekolah</t>
  </si>
  <si>
    <t>Pendidikan Ekonomi</t>
  </si>
  <si>
    <t>Ilmu Pengetahuan Sosial (IPS)</t>
  </si>
  <si>
    <t>5203040705870002</t>
  </si>
  <si>
    <t>NURHASANAH</t>
  </si>
  <si>
    <t>3334753655300033</t>
  </si>
  <si>
    <t>LOYOK</t>
  </si>
  <si>
    <t>1975-10-02</t>
  </si>
  <si>
    <t>Guru Honor Sekolah</t>
  </si>
  <si>
    <t>Pendidikan Bahasa dan Sastra Indonesia</t>
  </si>
  <si>
    <t>2024-07-15</t>
  </si>
  <si>
    <t>5203044210750002</t>
  </si>
  <si>
    <t>Guru Seni Budaya</t>
  </si>
  <si>
    <t>Ratnawati</t>
  </si>
  <si>
    <t>3563766671130303</t>
  </si>
  <si>
    <t>Aik Ngempok</t>
  </si>
  <si>
    <t>1988-12-31</t>
  </si>
  <si>
    <t>198812312025212264</t>
  </si>
  <si>
    <t>PPPK Paruh Waktu</t>
  </si>
  <si>
    <t>Geografi</t>
  </si>
  <si>
    <t>2013-07-01</t>
  </si>
  <si>
    <t>5203127112880095</t>
  </si>
  <si>
    <t>Guru IPS</t>
  </si>
  <si>
    <t>RIZAL WAHYUDI</t>
  </si>
  <si>
    <t>9635777678130282</t>
  </si>
  <si>
    <t>TETEBATU</t>
  </si>
  <si>
    <t>1999-03-03</t>
  </si>
  <si>
    <t>Pendidikan Jasmani (OR dan kesehatan)</t>
  </si>
  <si>
    <t>Pendidikan Olahraga</t>
  </si>
  <si>
    <t>2024-07-16</t>
  </si>
  <si>
    <t>Guru wali, Wakil Kepala Sekolah Humas, Pembina Ekstrakurikuler</t>
  </si>
  <si>
    <t>5203040303990005</t>
  </si>
  <si>
    <t>Guru Penjasorkes</t>
  </si>
  <si>
    <t>Rohana</t>
  </si>
  <si>
    <t>3551768669230193</t>
  </si>
  <si>
    <t>1990-12-19</t>
  </si>
  <si>
    <t>Matematika</t>
  </si>
  <si>
    <t>Wakil Kepala Sekolah Kurikulum</t>
  </si>
  <si>
    <t>5203046111890002</t>
  </si>
  <si>
    <t>Guru Matematika</t>
  </si>
  <si>
    <t>SITI HARTINAH</t>
  </si>
  <si>
    <t>6360766667230273</t>
  </si>
  <si>
    <t>PAGUTAN</t>
  </si>
  <si>
    <t>1988-10-28</t>
  </si>
  <si>
    <t>Matematika dan Ilmu Pengetahuan Alam</t>
  </si>
  <si>
    <t>Fisika</t>
  </si>
  <si>
    <t>2017-07-22</t>
  </si>
  <si>
    <t>5271026810880001</t>
  </si>
  <si>
    <t>Sri Sulastri</t>
  </si>
  <si>
    <t>1434756657300062</t>
  </si>
  <si>
    <t>1978-01-02</t>
  </si>
  <si>
    <t>197801022023212006</t>
  </si>
  <si>
    <t>PPPK</t>
  </si>
  <si>
    <t>Bahasa Indonesia</t>
  </si>
  <si>
    <t>2023-07-01</t>
  </si>
  <si>
    <t>5202074201780001</t>
  </si>
  <si>
    <t>Guru Bahasa Indonesia</t>
  </si>
  <si>
    <t>Sulas Jumaini Mapaz</t>
  </si>
  <si>
    <t>3552769670230203</t>
  </si>
  <si>
    <t xml:space="preserve">SELONG KABUPATEN DAERAH TINGKAT </t>
  </si>
  <si>
    <t>1991-12-20</t>
  </si>
  <si>
    <t>S.S.</t>
  </si>
  <si>
    <t>Bahasa Arab</t>
  </si>
  <si>
    <t>5203076011910005</t>
  </si>
  <si>
    <t>Peserta Didik</t>
  </si>
  <si>
    <t>1. Jumlah Peserta Didik Berdasarkan Jenis Kelamin</t>
  </si>
  <si>
    <t>4. Jumlah Siswa Berdasarkan Penghasilan Orang Tua/Wali</t>
  </si>
  <si>
    <t>5. Jumlah Siswa Berdasarkan Tingkat Pendidikan</t>
  </si>
  <si>
    <t>Laki-laki</t>
  </si>
  <si>
    <t>Perempuan</t>
  </si>
  <si>
    <t>Total</t>
  </si>
  <si>
    <t>Penghasilan</t>
  </si>
  <si>
    <t>Tingkat Pendidikan</t>
  </si>
  <si>
    <t>Tidak di isi</t>
  </si>
  <si>
    <t>Tingkat 8</t>
  </si>
  <si>
    <t>Kurang dari Rp. 500,000</t>
  </si>
  <si>
    <t>Tingkat 9</t>
  </si>
  <si>
    <t>2. Jumlah peserta Didik Berdasarkan Usia</t>
  </si>
  <si>
    <t>Rp. 500,000 - Rp. 999,999</t>
  </si>
  <si>
    <t>Belum Masuk Rombel</t>
  </si>
  <si>
    <t>Usia</t>
  </si>
  <si>
    <t>Rp. 1,000,000 - Rp. 1,999,999</t>
  </si>
  <si>
    <t>Tingkat 7</t>
  </si>
  <si>
    <t>&lt; 6 tahun</t>
  </si>
  <si>
    <t>Rp. 2,000,000 - Rp. 4,999,999</t>
  </si>
  <si>
    <t>6 - 12 tahun</t>
  </si>
  <si>
    <t>Rp. 5,000,000 - Rp. 20,000,000</t>
  </si>
  <si>
    <t>13 - 15 tahun</t>
  </si>
  <si>
    <t>Lebih dari Rp. 20,000,000</t>
  </si>
  <si>
    <t>16 - 20 tahun</t>
  </si>
  <si>
    <t>&gt; 20 tahun</t>
  </si>
  <si>
    <t>3. Jumlah Siswa Berdasarkan Agama</t>
  </si>
  <si>
    <t>Agama</t>
  </si>
  <si>
    <t>Islam</t>
  </si>
  <si>
    <t>Kristen</t>
  </si>
  <si>
    <t>Katholik</t>
  </si>
  <si>
    <t>Hindu</t>
  </si>
  <si>
    <t>Budha</t>
  </si>
  <si>
    <t>Konghucu</t>
  </si>
  <si>
    <t>Kepercayaan YME</t>
  </si>
  <si>
    <t>Lainnya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</si>
  <si>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</si>
  <si>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</si>
  <si>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</si>
  <si>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</si>
  <si>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</si>
  <si>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</si>
  <si>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</si>
  <si>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Kelas 7</t>
  </si>
  <si>
    <t>Kurikulum SMP Merdeka</t>
  </si>
  <si>
    <t>Kelas 8</t>
  </si>
  <si>
    <t>Kelas 9</t>
  </si>
  <si>
    <t>Prasarana</t>
  </si>
  <si>
    <t>Nama Prasarana</t>
  </si>
  <si>
    <t xml:space="preserve">Keterangan </t>
  </si>
  <si>
    <t>Panjang</t>
  </si>
  <si>
    <t>Lebar</t>
  </si>
  <si>
    <t>Status
Kepemilikan</t>
  </si>
  <si>
    <t>Kamar mandi Guru laki-laki</t>
  </si>
  <si>
    <t>LAB IPA</t>
  </si>
  <si>
    <t>Perustakaan</t>
  </si>
  <si>
    <t>Ruang Guru</t>
  </si>
  <si>
    <t>Ruang Kepala Sekolah</t>
  </si>
  <si>
    <t>WC Santri</t>
  </si>
  <si>
    <t>WC Santriwati</t>
  </si>
  <si>
    <t>Sarana</t>
  </si>
  <si>
    <t>Jenis Sarana</t>
  </si>
  <si>
    <t>Letak</t>
  </si>
  <si>
    <t>Kepemilikan</t>
  </si>
  <si>
    <t>Spesifikasi</t>
  </si>
  <si>
    <t>Jumlah</t>
  </si>
  <si>
    <t>Laik</t>
  </si>
  <si>
    <t>Tidak Laik</t>
  </si>
  <si>
    <t>Meja Siswa</t>
  </si>
  <si>
    <t>Milik</t>
  </si>
  <si>
    <t>Kursi Siswa</t>
  </si>
  <si>
    <t>Meja Guru</t>
  </si>
  <si>
    <t>Kursi Guru</t>
  </si>
  <si>
    <t>Papan Tulis</t>
  </si>
  <si>
    <t>Jam Dinding</t>
  </si>
  <si>
    <t>Soket Listrik</t>
  </si>
  <si>
    <t>Soket Listrik/Kotak Kontak</t>
  </si>
  <si>
    <t>Meja Baca</t>
  </si>
  <si>
    <t>Kursi</t>
  </si>
  <si>
    <t>Pinjam</t>
  </si>
  <si>
    <t>Tempat Sampah</t>
  </si>
  <si>
    <t>(Voltage regulator) 1 kVA</t>
  </si>
  <si>
    <t>baik</t>
  </si>
  <si>
    <t>Meja alat</t>
  </si>
  <si>
    <t>Kloset Jongkok</t>
  </si>
  <si>
    <t>Tempat Air (Bak)</t>
  </si>
  <si>
    <t>Gayung Air</t>
  </si>
  <si>
    <t>Lemari</t>
  </si>
  <si>
    <t>Kursi Pimpinan</t>
  </si>
  <si>
    <t>Meja Pimpinan</t>
  </si>
  <si>
    <t>Kursi dan Meja Tamu</t>
  </si>
  <si>
    <t>Simbol Kenegaraan</t>
  </si>
  <si>
    <t>Papan Statistik</t>
  </si>
  <si>
    <t>Gayung (Small Bucket)</t>
  </si>
  <si>
    <t>Tempat Air</t>
  </si>
  <si>
    <t>Kayu</t>
  </si>
  <si>
    <t>Tempat cuci tangan</t>
  </si>
  <si>
    <t>Kursi Kerja</t>
  </si>
  <si>
    <t>Plastik</t>
  </si>
  <si>
    <t>Meja Kerja / sirkulasi</t>
  </si>
  <si>
    <t>Kayu, Plastik</t>
  </si>
  <si>
    <t>Proyektor</t>
  </si>
  <si>
    <t>EPSON EB-E01</t>
  </si>
  <si>
    <t>LCD Proyektor</t>
  </si>
  <si>
    <t>MAGIC MIWB - 630-65B</t>
  </si>
  <si>
    <t>Acces Point (802.11B Dan G)</t>
  </si>
  <si>
    <t>zyrex router Confidante 2B4G</t>
  </si>
  <si>
    <t>Laptop</t>
  </si>
  <si>
    <t>R752TN CELERON N4120</t>
  </si>
  <si>
    <t>zyrex intel celeron chromebook M432</t>
  </si>
  <si>
    <t>Gantungan Pakaian</t>
  </si>
  <si>
    <t>Bantuan/Blockgrant/Subsidi dan Beasiswa</t>
  </si>
  <si>
    <t>Tahun</t>
  </si>
  <si>
    <t>Jenis Bantuan</t>
  </si>
  <si>
    <t>Sumber Bantuan</t>
  </si>
  <si>
    <t>Besar Bantuan</t>
  </si>
  <si>
    <t>Dana Pendamping</t>
  </si>
  <si>
    <t>Peruntukan Dana</t>
  </si>
  <si>
    <t>Bantuan TIK</t>
  </si>
  <si>
    <t>Direktorat PSMP</t>
  </si>
  <si>
    <t>15 Unit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</si>
</sst>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u/>
      <sz val="11"/>
      <color rgb="FF000000"/>
      <name val="Calibri"/>
    </font>
    <font>
      <b/>
      <sz val="20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0000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3" borderId="1" xfId="0" applyFont="1" applyFill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49" fontId="0" fillId="2" borderId="0" xfId="0" applyNumberFormat="1" applyFill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5" fillId="4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5" fillId="4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6" fillId="2" borderId="0" xfId="0" applyFont="1" applyFill="1" applyAlignment="1">
      <alignment vertical="center"/>
    </xf>
    <xf numFmtId="1" fontId="0" fillId="2" borderId="0" xfId="0" applyNumberFormat="1" applyFill="1"/>
    <xf numFmtId="0" fontId="0" fillId="2" borderId="2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lef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vertical="center"/>
    </xf>
    <xf numFmtId="49" fontId="0" fillId="2" borderId="4" xfId="0" applyNumberFormat="1" applyFill="1" applyBorder="1" applyAlignment="1">
      <alignment vertical="center"/>
    </xf>
    <xf numFmtId="49" fontId="0" fillId="2" borderId="5" xfId="0" applyNumberFormat="1" applyFill="1" applyBorder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zoomScale="120" zoomScaleNormal="120" workbookViewId="0">
      <selection activeCell="O55" sqref="O55"/>
    </sheetView>
  </sheetViews>
  <sheetFormatPr defaultColWidth="9" defaultRowHeight="14.5" x14ac:dyDescent="0.35"/>
  <cols>
    <col min="1" max="1" width="4.1796875" customWidth="1"/>
    <col min="2" max="2" width="31.81640625" style="27" customWidth="1"/>
    <col min="3" max="3" width="2.81640625" customWidth="1"/>
    <col min="5" max="5" width="9.6328125" customWidth="1"/>
  </cols>
  <sheetData>
    <row r="1" spans="1:9" ht="26" customHeight="1" x14ac:dyDescent="0.6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3" spans="1:9" x14ac:dyDescent="0.35">
      <c r="A3" s="43" t="s">
        <v>1</v>
      </c>
      <c r="B3" s="43"/>
      <c r="C3" s="43"/>
      <c r="D3" s="43"/>
      <c r="E3" s="43"/>
      <c r="F3" s="43"/>
      <c r="G3" s="43"/>
      <c r="H3" s="43"/>
      <c r="I3" s="43"/>
    </row>
    <row r="4" spans="1:9" ht="16" customHeight="1" x14ac:dyDescent="0.35">
      <c r="A4" s="16">
        <v>1</v>
      </c>
      <c r="B4" s="24" t="s">
        <v>2</v>
      </c>
      <c r="C4" s="12" t="s">
        <v>3</v>
      </c>
      <c r="D4" s="44" t="s">
        <v>4</v>
      </c>
      <c r="E4" s="45"/>
      <c r="F4" s="45"/>
      <c r="G4" s="45"/>
      <c r="H4" s="45"/>
      <c r="I4" s="46"/>
    </row>
    <row r="5" spans="1:9" ht="16" customHeight="1" x14ac:dyDescent="0.35">
      <c r="A5" s="16">
        <f>(A4+1)</f>
        <v>2</v>
      </c>
      <c r="B5" s="24" t="s">
        <v>5</v>
      </c>
      <c r="C5" s="12" t="s">
        <v>3</v>
      </c>
      <c r="D5" s="47">
        <v>69995705</v>
      </c>
      <c r="E5" s="48"/>
      <c r="F5" s="48"/>
      <c r="G5" s="48"/>
      <c r="H5" s="48"/>
      <c r="I5" s="49"/>
    </row>
    <row r="6" spans="1:9" ht="16" customHeight="1" x14ac:dyDescent="0.35">
      <c r="A6" s="16">
        <f>(A5+1)</f>
        <v>3</v>
      </c>
      <c r="B6" s="24" t="s">
        <v>6</v>
      </c>
      <c r="C6" s="12" t="s">
        <v>3</v>
      </c>
      <c r="D6" s="47" t="s">
        <v>7</v>
      </c>
      <c r="E6" s="48"/>
      <c r="F6" s="48"/>
      <c r="G6" s="48"/>
      <c r="H6" s="48"/>
      <c r="I6" s="49"/>
    </row>
    <row r="7" spans="1:9" ht="16" customHeight="1" x14ac:dyDescent="0.35">
      <c r="A7" s="16">
        <f>(A6+1)</f>
        <v>4</v>
      </c>
      <c r="B7" s="24" t="s">
        <v>8</v>
      </c>
      <c r="C7" s="12" t="s">
        <v>9</v>
      </c>
      <c r="D7" s="44" t="s">
        <v>10</v>
      </c>
      <c r="E7" s="45"/>
      <c r="F7" s="45"/>
      <c r="G7" s="45"/>
      <c r="H7" s="45"/>
      <c r="I7" s="46"/>
    </row>
    <row r="8" spans="1:9" ht="16" customHeight="1" x14ac:dyDescent="0.35">
      <c r="A8" s="16">
        <f>(A7+1)</f>
        <v>5</v>
      </c>
      <c r="B8" s="24" t="s">
        <v>11</v>
      </c>
      <c r="C8" s="12" t="s">
        <v>3</v>
      </c>
      <c r="D8" s="44" t="s">
        <v>12</v>
      </c>
      <c r="E8" s="45"/>
      <c r="F8" s="45"/>
      <c r="G8" s="45"/>
      <c r="H8" s="45"/>
      <c r="I8" s="46"/>
    </row>
    <row r="9" spans="1:9" ht="16" customHeight="1" x14ac:dyDescent="0.35">
      <c r="A9" s="17"/>
      <c r="B9" s="23" t="s">
        <v>13</v>
      </c>
      <c r="C9" s="17" t="s">
        <v>3</v>
      </c>
      <c r="D9" s="18">
        <v>2</v>
      </c>
      <c r="E9" s="19" t="s">
        <v>14</v>
      </c>
      <c r="F9" s="20">
        <v>1</v>
      </c>
      <c r="G9" s="50"/>
      <c r="H9" s="50"/>
      <c r="I9" s="50"/>
    </row>
    <row r="10" spans="1:9" ht="16" customHeight="1" x14ac:dyDescent="0.35">
      <c r="A10" s="17"/>
      <c r="B10" s="23" t="s">
        <v>15</v>
      </c>
      <c r="C10" s="17" t="s">
        <v>3</v>
      </c>
      <c r="D10" s="44">
        <v>83662</v>
      </c>
      <c r="E10" s="45"/>
      <c r="F10" s="45"/>
      <c r="G10" s="45"/>
      <c r="H10" s="45"/>
      <c r="I10" s="46"/>
    </row>
    <row r="11" spans="1:9" ht="16" customHeight="1" x14ac:dyDescent="0.35">
      <c r="A11" s="17"/>
      <c r="B11" s="23" t="s">
        <v>16</v>
      </c>
      <c r="C11" s="17" t="s">
        <v>3</v>
      </c>
      <c r="D11" s="44" t="s">
        <v>17</v>
      </c>
      <c r="E11" s="45"/>
      <c r="F11" s="45"/>
      <c r="G11" s="45"/>
      <c r="H11" s="45"/>
      <c r="I11" s="46"/>
    </row>
    <row r="12" spans="1:9" ht="16" customHeight="1" x14ac:dyDescent="0.35">
      <c r="A12" s="17"/>
      <c r="B12" s="23" t="s">
        <v>18</v>
      </c>
      <c r="C12" s="17" t="s">
        <v>3</v>
      </c>
      <c r="D12" s="44" t="s">
        <v>19</v>
      </c>
      <c r="E12" s="45"/>
      <c r="F12" s="45"/>
      <c r="G12" s="45"/>
      <c r="H12" s="45"/>
      <c r="I12" s="46"/>
    </row>
    <row r="13" spans="1:9" ht="16" customHeight="1" x14ac:dyDescent="0.35">
      <c r="A13" s="17"/>
      <c r="B13" s="23" t="s">
        <v>20</v>
      </c>
      <c r="C13" s="17" t="s">
        <v>3</v>
      </c>
      <c r="D13" s="44" t="s">
        <v>21</v>
      </c>
      <c r="E13" s="45"/>
      <c r="F13" s="45"/>
      <c r="G13" s="45"/>
      <c r="H13" s="45"/>
      <c r="I13" s="46"/>
    </row>
    <row r="14" spans="1:9" ht="16" customHeight="1" x14ac:dyDescent="0.35">
      <c r="A14" s="17"/>
      <c r="B14" s="23" t="s">
        <v>22</v>
      </c>
      <c r="C14" s="17" t="s">
        <v>3</v>
      </c>
      <c r="D14" s="44" t="s">
        <v>23</v>
      </c>
      <c r="E14" s="45"/>
      <c r="F14" s="45"/>
      <c r="G14" s="45"/>
      <c r="H14" s="45"/>
      <c r="I14" s="46"/>
    </row>
    <row r="15" spans="1:9" ht="16" customHeight="1" x14ac:dyDescent="0.35">
      <c r="A15" s="17"/>
      <c r="B15" s="23" t="s">
        <v>24</v>
      </c>
      <c r="C15" s="17" t="s">
        <v>9</v>
      </c>
      <c r="D15" s="44" t="s">
        <v>25</v>
      </c>
      <c r="E15" s="45"/>
      <c r="F15" s="45"/>
      <c r="G15" s="45"/>
      <c r="H15" s="45"/>
      <c r="I15" s="46"/>
    </row>
    <row r="16" spans="1:9" ht="16" customHeight="1" x14ac:dyDescent="0.35">
      <c r="A16" s="21">
        <f>(A8+1)</f>
        <v>6</v>
      </c>
      <c r="B16" s="23" t="s">
        <v>26</v>
      </c>
      <c r="C16" s="17" t="s">
        <v>3</v>
      </c>
      <c r="D16" s="34">
        <v>-8.5940595999999996</v>
      </c>
      <c r="E16" s="34"/>
      <c r="F16" s="34"/>
      <c r="G16" s="17" t="s">
        <v>27</v>
      </c>
      <c r="H16" s="17"/>
      <c r="I16" s="17"/>
    </row>
    <row r="17" spans="1:9" x14ac:dyDescent="0.35">
      <c r="A17" s="17"/>
      <c r="B17" s="23"/>
      <c r="C17" s="17"/>
      <c r="D17" s="51">
        <v>116.4219518</v>
      </c>
      <c r="E17" s="51"/>
      <c r="F17" s="51"/>
      <c r="G17" s="17" t="s">
        <v>28</v>
      </c>
      <c r="H17" s="17"/>
      <c r="I17" s="17"/>
    </row>
    <row r="18" spans="1:9" x14ac:dyDescent="0.35">
      <c r="A18" s="22" t="s">
        <v>29</v>
      </c>
      <c r="B18" s="25"/>
      <c r="C18" s="22"/>
      <c r="D18" s="22"/>
      <c r="E18" s="22"/>
      <c r="F18" s="22"/>
      <c r="G18" s="22"/>
      <c r="H18" s="22"/>
      <c r="I18" s="22"/>
    </row>
    <row r="19" spans="1:9" ht="16" customHeight="1" x14ac:dyDescent="0.35">
      <c r="A19" s="21">
        <f>(A16+1)</f>
        <v>7</v>
      </c>
      <c r="B19" s="23" t="s">
        <v>30</v>
      </c>
      <c r="C19" s="17" t="s">
        <v>3</v>
      </c>
      <c r="D19" s="34" t="s">
        <v>31</v>
      </c>
      <c r="E19" s="34"/>
      <c r="F19" s="34"/>
      <c r="G19" s="34"/>
      <c r="H19" s="34"/>
      <c r="I19" s="34"/>
    </row>
    <row r="20" spans="1:9" ht="16" customHeight="1" x14ac:dyDescent="0.35">
      <c r="A20" s="21">
        <f t="shared" ref="A20:A31" si="0">(A19+1)</f>
        <v>8</v>
      </c>
      <c r="B20" s="23" t="s">
        <v>32</v>
      </c>
      <c r="C20" s="17" t="s">
        <v>9</v>
      </c>
      <c r="D20" s="34" t="s">
        <v>33</v>
      </c>
      <c r="E20" s="34"/>
      <c r="F20" s="34"/>
      <c r="G20" s="34"/>
      <c r="H20" s="34"/>
      <c r="I20" s="34"/>
    </row>
    <row r="21" spans="1:9" ht="16" customHeight="1" x14ac:dyDescent="0.35">
      <c r="A21" s="21">
        <f t="shared" si="0"/>
        <v>9</v>
      </c>
      <c r="B21" s="26" t="s">
        <v>34</v>
      </c>
      <c r="C21" s="17" t="s">
        <v>3</v>
      </c>
      <c r="D21" s="34" t="s">
        <v>35</v>
      </c>
      <c r="E21" s="34"/>
      <c r="F21" s="34"/>
      <c r="G21" s="34"/>
      <c r="H21" s="34"/>
      <c r="I21" s="34"/>
    </row>
    <row r="22" spans="1:9" ht="16" customHeight="1" x14ac:dyDescent="0.35">
      <c r="A22" s="21">
        <f t="shared" si="0"/>
        <v>10</v>
      </c>
      <c r="B22" s="26" t="s">
        <v>36</v>
      </c>
      <c r="C22" s="17" t="s">
        <v>3</v>
      </c>
      <c r="D22" s="34" t="s">
        <v>31</v>
      </c>
      <c r="E22" s="34"/>
      <c r="F22" s="34"/>
      <c r="G22" s="34"/>
      <c r="H22" s="34"/>
      <c r="I22" s="34"/>
    </row>
    <row r="23" spans="1:9" ht="16" customHeight="1" x14ac:dyDescent="0.35">
      <c r="A23" s="21">
        <f t="shared" si="0"/>
        <v>11</v>
      </c>
      <c r="B23" s="26" t="s">
        <v>37</v>
      </c>
      <c r="C23" s="17" t="s">
        <v>3</v>
      </c>
      <c r="D23" s="34" t="s">
        <v>33</v>
      </c>
      <c r="E23" s="34"/>
      <c r="F23" s="34"/>
      <c r="G23" s="34"/>
      <c r="H23" s="34"/>
      <c r="I23" s="34"/>
    </row>
    <row r="24" spans="1:9" ht="16" customHeight="1" x14ac:dyDescent="0.35">
      <c r="A24" s="21">
        <f t="shared" si="0"/>
        <v>12</v>
      </c>
      <c r="B24" s="26" t="s">
        <v>38</v>
      </c>
      <c r="C24" s="17" t="s">
        <v>3</v>
      </c>
      <c r="D24" s="34"/>
      <c r="E24" s="34"/>
      <c r="F24" s="34"/>
      <c r="G24" s="34"/>
      <c r="H24" s="34"/>
      <c r="I24" s="34"/>
    </row>
    <row r="25" spans="1:9" ht="16" customHeight="1" x14ac:dyDescent="0.35">
      <c r="A25" s="21">
        <f t="shared" si="0"/>
        <v>13</v>
      </c>
      <c r="B25" s="26" t="s">
        <v>39</v>
      </c>
      <c r="C25" s="17" t="s">
        <v>3</v>
      </c>
      <c r="D25" s="34">
        <v>1234</v>
      </c>
      <c r="E25" s="34"/>
      <c r="F25" s="34"/>
      <c r="G25" s="34"/>
      <c r="H25" s="34"/>
      <c r="I25" s="34"/>
    </row>
    <row r="26" spans="1:9" ht="16" customHeight="1" x14ac:dyDescent="0.35">
      <c r="A26" s="21">
        <f t="shared" si="0"/>
        <v>14</v>
      </c>
      <c r="B26" s="26" t="s">
        <v>40</v>
      </c>
      <c r="C26" s="17" t="s">
        <v>3</v>
      </c>
      <c r="D26" s="34" t="s">
        <v>41</v>
      </c>
      <c r="E26" s="34"/>
      <c r="F26" s="34"/>
      <c r="G26" s="34"/>
      <c r="H26" s="34"/>
      <c r="I26" s="34"/>
    </row>
    <row r="27" spans="1:9" ht="16" customHeight="1" x14ac:dyDescent="0.35">
      <c r="A27" s="21">
        <f t="shared" si="0"/>
        <v>15</v>
      </c>
      <c r="B27" s="26" t="s">
        <v>42</v>
      </c>
      <c r="C27" s="17" t="s">
        <v>3</v>
      </c>
      <c r="D27" s="34" t="s">
        <v>43</v>
      </c>
      <c r="E27" s="34"/>
      <c r="F27" s="34"/>
      <c r="G27" s="34"/>
      <c r="H27" s="34"/>
      <c r="I27" s="34"/>
    </row>
    <row r="28" spans="1:9" ht="16" customHeight="1" x14ac:dyDescent="0.35">
      <c r="A28" s="21">
        <f t="shared" si="0"/>
        <v>16</v>
      </c>
      <c r="B28" s="26" t="s">
        <v>44</v>
      </c>
      <c r="C28" s="17" t="s">
        <v>3</v>
      </c>
      <c r="D28" s="34" t="s">
        <v>45</v>
      </c>
      <c r="E28" s="34"/>
      <c r="F28" s="34"/>
      <c r="G28" s="34"/>
      <c r="H28" s="34"/>
      <c r="I28" s="34"/>
    </row>
    <row r="29" spans="1:9" ht="16" customHeight="1" x14ac:dyDescent="0.35">
      <c r="A29" s="21">
        <f t="shared" si="0"/>
        <v>17</v>
      </c>
      <c r="B29" s="26" t="s">
        <v>46</v>
      </c>
      <c r="C29" s="17" t="s">
        <v>3</v>
      </c>
      <c r="D29" s="34" t="s">
        <v>47</v>
      </c>
      <c r="E29" s="34"/>
      <c r="F29" s="34"/>
      <c r="G29" s="34"/>
      <c r="H29" s="34"/>
      <c r="I29" s="34"/>
    </row>
    <row r="30" spans="1:9" ht="16" customHeight="1" x14ac:dyDescent="0.35">
      <c r="A30" s="21">
        <f t="shared" si="0"/>
        <v>18</v>
      </c>
      <c r="B30" s="26" t="s">
        <v>48</v>
      </c>
      <c r="C30" s="17" t="s">
        <v>3</v>
      </c>
      <c r="D30" s="34">
        <v>0</v>
      </c>
      <c r="E30" s="34"/>
      <c r="F30" s="34"/>
      <c r="G30" s="34"/>
      <c r="H30" s="34"/>
      <c r="I30" s="34"/>
    </row>
    <row r="31" spans="1:9" ht="16" customHeight="1" x14ac:dyDescent="0.35">
      <c r="A31" s="21">
        <f t="shared" si="0"/>
        <v>19</v>
      </c>
      <c r="B31" s="26" t="s">
        <v>49</v>
      </c>
      <c r="C31" s="17" t="s">
        <v>3</v>
      </c>
      <c r="D31" s="34">
        <v>0</v>
      </c>
      <c r="E31" s="34"/>
      <c r="F31" s="34"/>
      <c r="G31" s="34"/>
      <c r="H31" s="34"/>
      <c r="I31" s="34"/>
    </row>
    <row r="32" spans="1:9" ht="16" customHeight="1" x14ac:dyDescent="0.35">
      <c r="A32" s="21">
        <v>20</v>
      </c>
      <c r="B32" s="26" t="s">
        <v>50</v>
      </c>
      <c r="C32" s="17" t="s">
        <v>3</v>
      </c>
      <c r="D32" s="34" t="s">
        <v>51</v>
      </c>
      <c r="E32" s="34"/>
      <c r="F32" s="34"/>
      <c r="G32" s="34"/>
      <c r="H32" s="34"/>
      <c r="I32" s="34"/>
    </row>
    <row r="33" spans="1:9" ht="16" customHeight="1" x14ac:dyDescent="0.35">
      <c r="A33" s="21">
        <v>21</v>
      </c>
      <c r="B33" s="26" t="s">
        <v>52</v>
      </c>
      <c r="C33" s="17" t="s">
        <v>3</v>
      </c>
      <c r="D33" s="34" t="s">
        <v>53</v>
      </c>
      <c r="E33" s="34"/>
      <c r="F33" s="34"/>
      <c r="G33" s="34"/>
      <c r="H33" s="34"/>
      <c r="I33" s="34"/>
    </row>
    <row r="34" spans="1:9" x14ac:dyDescent="0.35">
      <c r="A34" s="52" t="s">
        <v>54</v>
      </c>
      <c r="B34" s="52"/>
      <c r="C34" s="52"/>
      <c r="D34" s="52"/>
      <c r="E34" s="52"/>
      <c r="F34" s="52"/>
      <c r="G34" s="52"/>
      <c r="H34" s="52"/>
      <c r="I34" s="52"/>
    </row>
    <row r="35" spans="1:9" ht="16" customHeight="1" x14ac:dyDescent="0.35">
      <c r="A35" s="21">
        <v>20</v>
      </c>
      <c r="B35" s="23" t="s">
        <v>55</v>
      </c>
      <c r="C35" s="17" t="s">
        <v>3</v>
      </c>
      <c r="D35" s="34" t="s">
        <v>56</v>
      </c>
      <c r="E35" s="34"/>
      <c r="F35" s="34"/>
      <c r="G35" s="34"/>
      <c r="H35" s="34"/>
      <c r="I35" s="34"/>
    </row>
    <row r="36" spans="1:9" ht="16" customHeight="1" x14ac:dyDescent="0.35">
      <c r="A36" s="21">
        <f>(A35+1)</f>
        <v>21</v>
      </c>
      <c r="B36" s="23" t="s">
        <v>57</v>
      </c>
      <c r="C36" s="17" t="s">
        <v>9</v>
      </c>
      <c r="D36" s="34"/>
      <c r="E36" s="34"/>
      <c r="F36" s="34"/>
      <c r="G36" s="34"/>
      <c r="H36" s="34"/>
      <c r="I36" s="34"/>
    </row>
    <row r="37" spans="1:9" ht="16" customHeight="1" x14ac:dyDescent="0.35">
      <c r="A37" s="21">
        <f>(A36+1)</f>
        <v>22</v>
      </c>
      <c r="B37" s="23" t="s">
        <v>58</v>
      </c>
      <c r="C37" s="17" t="s">
        <v>3</v>
      </c>
      <c r="D37" s="34" t="s">
        <v>59</v>
      </c>
      <c r="E37" s="34"/>
      <c r="F37" s="34"/>
      <c r="G37" s="34"/>
      <c r="H37" s="34"/>
      <c r="I37" s="34"/>
    </row>
    <row r="38" spans="1:9" ht="16" customHeight="1" x14ac:dyDescent="0.35">
      <c r="A38" s="21">
        <f>(A37+1)</f>
        <v>23</v>
      </c>
      <c r="B38" s="23" t="s">
        <v>60</v>
      </c>
      <c r="C38" s="17" t="s">
        <v>9</v>
      </c>
      <c r="D38" s="34" t="s">
        <v>61</v>
      </c>
      <c r="E38" s="34"/>
      <c r="F38" s="34"/>
      <c r="G38" s="34"/>
      <c r="H38" s="34"/>
      <c r="I38" s="34"/>
    </row>
    <row r="39" spans="1:9" x14ac:dyDescent="0.35">
      <c r="A39" s="52" t="s">
        <v>62</v>
      </c>
      <c r="B39" s="52"/>
      <c r="C39" s="52"/>
      <c r="D39" s="52"/>
      <c r="E39" s="52"/>
      <c r="F39" s="52"/>
      <c r="G39" s="52"/>
      <c r="H39" s="52"/>
      <c r="I39" s="52"/>
    </row>
    <row r="40" spans="1:9" ht="16" customHeight="1" x14ac:dyDescent="0.35">
      <c r="A40" s="21">
        <v>24</v>
      </c>
      <c r="B40" s="26" t="s">
        <v>63</v>
      </c>
      <c r="C40" s="17" t="s">
        <v>3</v>
      </c>
      <c r="D40" s="34" t="s">
        <v>64</v>
      </c>
      <c r="E40" s="34"/>
      <c r="F40" s="34"/>
      <c r="G40" s="34"/>
      <c r="H40" s="34"/>
      <c r="I40" s="34"/>
    </row>
    <row r="41" spans="1:9" ht="16" customHeight="1" x14ac:dyDescent="0.35">
      <c r="A41" s="21">
        <f>(A40+1)</f>
        <v>25</v>
      </c>
      <c r="B41" s="23" t="s">
        <v>65</v>
      </c>
      <c r="C41" s="17" t="s">
        <v>3</v>
      </c>
      <c r="D41" s="34" t="s">
        <v>66</v>
      </c>
      <c r="E41" s="34"/>
      <c r="F41" s="34"/>
      <c r="G41" s="34"/>
      <c r="H41" s="34"/>
      <c r="I41" s="34"/>
    </row>
    <row r="42" spans="1:9" ht="16" customHeight="1" x14ac:dyDescent="0.35">
      <c r="A42" s="21">
        <f>(A41+1)</f>
        <v>26</v>
      </c>
      <c r="B42" s="23" t="s">
        <v>67</v>
      </c>
      <c r="C42" s="17" t="s">
        <v>3</v>
      </c>
      <c r="D42" s="34" t="s">
        <v>68</v>
      </c>
      <c r="E42" s="34"/>
      <c r="F42" s="34"/>
      <c r="G42" s="34"/>
      <c r="H42" s="34"/>
      <c r="I42" s="34"/>
    </row>
    <row r="43" spans="1:9" ht="16" customHeight="1" x14ac:dyDescent="0.35">
      <c r="A43" s="21">
        <f>(A42+1)</f>
        <v>27</v>
      </c>
      <c r="B43" s="23" t="s">
        <v>69</v>
      </c>
      <c r="C43" s="17" t="s">
        <v>3</v>
      </c>
      <c r="D43" s="34" t="s">
        <v>70</v>
      </c>
      <c r="E43" s="34"/>
      <c r="F43" s="34"/>
      <c r="G43" s="34"/>
      <c r="H43" s="34"/>
      <c r="I43" s="34"/>
    </row>
    <row r="44" spans="1:9" ht="16" customHeight="1" x14ac:dyDescent="0.35">
      <c r="A44" s="21">
        <f>(A43+1)</f>
        <v>28</v>
      </c>
      <c r="B44" s="23" t="s">
        <v>71</v>
      </c>
      <c r="C44" s="17" t="s">
        <v>3</v>
      </c>
      <c r="D44" s="34">
        <v>900</v>
      </c>
      <c r="E44" s="34"/>
      <c r="F44" s="34"/>
      <c r="G44" s="34"/>
      <c r="H44" s="34"/>
      <c r="I44" s="34"/>
    </row>
    <row r="45" spans="1:9" ht="16" customHeight="1" x14ac:dyDescent="0.35">
      <c r="A45" s="21">
        <f>(A44+1)</f>
        <v>29</v>
      </c>
      <c r="B45" s="23" t="s">
        <v>72</v>
      </c>
      <c r="C45" s="17" t="s">
        <v>3</v>
      </c>
      <c r="D45" s="34" t="s">
        <v>73</v>
      </c>
      <c r="E45" s="34"/>
      <c r="F45" s="34"/>
      <c r="G45" s="34"/>
      <c r="H45" s="34"/>
      <c r="I45" s="34"/>
    </row>
    <row r="46" spans="1:9" x14ac:dyDescent="0.35">
      <c r="A46" s="21"/>
      <c r="B46" s="23"/>
      <c r="C46" s="17"/>
      <c r="D46" s="34"/>
      <c r="E46" s="34"/>
      <c r="F46" s="34"/>
      <c r="G46" s="34"/>
      <c r="H46" s="34"/>
      <c r="I46" s="34"/>
    </row>
    <row r="47" spans="1:9" x14ac:dyDescent="0.35">
      <c r="A47" s="52" t="s">
        <v>74</v>
      </c>
      <c r="B47" s="52"/>
      <c r="C47" s="52"/>
      <c r="D47" s="52"/>
      <c r="E47" s="52"/>
      <c r="F47" s="52"/>
      <c r="G47" s="52"/>
      <c r="H47" s="52"/>
      <c r="I47" s="52"/>
    </row>
    <row r="48" spans="1:9" x14ac:dyDescent="0.35">
      <c r="A48" s="53" t="s">
        <v>75</v>
      </c>
      <c r="B48" s="53"/>
      <c r="C48" s="12"/>
      <c r="D48" s="12"/>
      <c r="E48" s="12"/>
      <c r="F48" s="12"/>
      <c r="G48" s="12"/>
      <c r="H48" s="12"/>
      <c r="I48" s="12"/>
    </row>
    <row r="49" spans="1:9" ht="16" customHeight="1" x14ac:dyDescent="0.35">
      <c r="A49" s="12">
        <v>31</v>
      </c>
      <c r="B49" s="23" t="s">
        <v>76</v>
      </c>
      <c r="C49" s="17" t="s">
        <v>3</v>
      </c>
      <c r="D49" s="34" t="s">
        <v>77</v>
      </c>
      <c r="E49" s="34"/>
      <c r="F49" s="34"/>
      <c r="G49" s="34"/>
      <c r="H49" s="34"/>
      <c r="I49" s="34"/>
    </row>
    <row r="50" spans="1:9" ht="16" customHeight="1" x14ac:dyDescent="0.35">
      <c r="A50" s="12">
        <v>32</v>
      </c>
      <c r="B50" s="23" t="s">
        <v>78</v>
      </c>
      <c r="C50" s="17" t="s">
        <v>3</v>
      </c>
      <c r="D50" s="34" t="s">
        <v>79</v>
      </c>
      <c r="E50" s="34"/>
      <c r="F50" s="34"/>
      <c r="G50" s="34"/>
      <c r="H50" s="34"/>
      <c r="I50" s="34"/>
    </row>
    <row r="51" spans="1:9" ht="16" customHeight="1" x14ac:dyDescent="0.35">
      <c r="A51" s="12">
        <v>33</v>
      </c>
      <c r="B51" s="23" t="s">
        <v>80</v>
      </c>
      <c r="C51" s="17" t="s">
        <v>3</v>
      </c>
      <c r="D51" s="34" t="s">
        <v>81</v>
      </c>
      <c r="E51" s="34"/>
      <c r="F51" s="34"/>
      <c r="G51" s="34"/>
      <c r="H51" s="34"/>
      <c r="I51" s="34"/>
    </row>
    <row r="52" spans="1:9" ht="64" customHeight="1" x14ac:dyDescent="0.35">
      <c r="A52" s="12">
        <v>34</v>
      </c>
      <c r="B52" s="23" t="s">
        <v>82</v>
      </c>
      <c r="C52" s="17" t="s">
        <v>3</v>
      </c>
      <c r="D52" s="34" t="s">
        <v>47</v>
      </c>
      <c r="E52" s="34"/>
      <c r="F52" s="34"/>
      <c r="G52" s="34"/>
      <c r="H52" s="34"/>
      <c r="I52" s="34"/>
    </row>
    <row r="53" spans="1:9" ht="16" customHeight="1" x14ac:dyDescent="0.35">
      <c r="A53" s="12">
        <v>35</v>
      </c>
      <c r="B53" s="24" t="s">
        <v>83</v>
      </c>
      <c r="C53" s="17" t="s">
        <v>3</v>
      </c>
      <c r="D53" s="34" t="s">
        <v>84</v>
      </c>
      <c r="E53" s="34"/>
      <c r="F53" s="34"/>
      <c r="G53" s="34"/>
      <c r="H53" s="34"/>
      <c r="I53" s="34"/>
    </row>
    <row r="54" spans="1:9" ht="32" customHeight="1" x14ac:dyDescent="0.35">
      <c r="A54" s="12">
        <v>36</v>
      </c>
      <c r="B54" s="24" t="s">
        <v>85</v>
      </c>
      <c r="C54" s="17" t="s">
        <v>3</v>
      </c>
      <c r="D54" s="34" t="s">
        <v>86</v>
      </c>
      <c r="E54" s="34"/>
      <c r="F54" s="34"/>
      <c r="G54" s="34"/>
      <c r="H54" s="34"/>
      <c r="I54" s="34"/>
    </row>
    <row r="55" spans="1:9" ht="48" customHeight="1" x14ac:dyDescent="0.35">
      <c r="A55" s="12">
        <v>37</v>
      </c>
      <c r="B55" s="24" t="s">
        <v>87</v>
      </c>
      <c r="C55" s="17" t="s">
        <v>3</v>
      </c>
      <c r="D55" s="34" t="s">
        <v>88</v>
      </c>
      <c r="E55" s="34"/>
      <c r="F55" s="34"/>
      <c r="G55" s="34"/>
      <c r="H55" s="34"/>
      <c r="I55" s="34"/>
    </row>
    <row r="56" spans="1:9" ht="16" customHeight="1" x14ac:dyDescent="0.35">
      <c r="A56" s="12">
        <v>38</v>
      </c>
      <c r="B56" s="24" t="s">
        <v>89</v>
      </c>
      <c r="C56" s="17" t="s">
        <v>3</v>
      </c>
      <c r="D56" s="34">
        <v>1</v>
      </c>
      <c r="E56" s="34"/>
      <c r="F56" s="34"/>
      <c r="G56" s="34"/>
      <c r="H56" s="34"/>
      <c r="I56" s="34"/>
    </row>
    <row r="57" spans="1:9" ht="16" customHeight="1" x14ac:dyDescent="0.35">
      <c r="A57" s="12">
        <v>39</v>
      </c>
      <c r="B57" s="24" t="s">
        <v>90</v>
      </c>
      <c r="C57" s="17" t="s">
        <v>3</v>
      </c>
      <c r="D57" s="34">
        <v>0</v>
      </c>
      <c r="E57" s="34"/>
      <c r="F57" s="34"/>
      <c r="G57" s="34"/>
      <c r="H57" s="34"/>
      <c r="I57" s="34"/>
    </row>
    <row r="58" spans="1:9" ht="32" customHeight="1" x14ac:dyDescent="0.35">
      <c r="A58" s="12">
        <v>40</v>
      </c>
      <c r="B58" s="24" t="s">
        <v>91</v>
      </c>
      <c r="C58" s="17" t="s">
        <v>3</v>
      </c>
      <c r="D58" s="34" t="s">
        <v>66</v>
      </c>
      <c r="E58" s="34"/>
      <c r="F58" s="34"/>
      <c r="G58" s="34"/>
      <c r="H58" s="34"/>
      <c r="I58" s="34"/>
    </row>
    <row r="59" spans="1:9" ht="32" customHeight="1" x14ac:dyDescent="0.35">
      <c r="A59" s="12">
        <v>41</v>
      </c>
      <c r="B59" s="24" t="s">
        <v>92</v>
      </c>
      <c r="C59" s="17" t="s">
        <v>3</v>
      </c>
      <c r="D59" s="34" t="s">
        <v>93</v>
      </c>
      <c r="E59" s="34"/>
      <c r="F59" s="34"/>
      <c r="G59" s="34"/>
      <c r="H59" s="34"/>
      <c r="I59" s="34"/>
    </row>
    <row r="60" spans="1:9" ht="48" customHeight="1" x14ac:dyDescent="0.35">
      <c r="A60" s="12">
        <v>42</v>
      </c>
      <c r="B60" s="24" t="s">
        <v>94</v>
      </c>
      <c r="C60" s="17" t="s">
        <v>3</v>
      </c>
      <c r="D60" s="34" t="s">
        <v>95</v>
      </c>
      <c r="E60" s="34"/>
      <c r="F60" s="34"/>
      <c r="G60" s="34"/>
      <c r="H60" s="34"/>
      <c r="I60" s="34"/>
    </row>
    <row r="61" spans="1:9" x14ac:dyDescent="0.35">
      <c r="A61" s="53" t="s">
        <v>96</v>
      </c>
      <c r="B61" s="53"/>
      <c r="C61" s="17" t="s">
        <v>3</v>
      </c>
      <c r="D61" s="34"/>
      <c r="E61" s="34"/>
      <c r="F61" s="34"/>
      <c r="G61" s="34"/>
      <c r="H61" s="34"/>
      <c r="I61" s="34"/>
    </row>
    <row r="62" spans="1:9" ht="32" customHeight="1" x14ac:dyDescent="0.35">
      <c r="A62" s="12">
        <v>43</v>
      </c>
      <c r="B62" s="24" t="s">
        <v>97</v>
      </c>
      <c r="C62" s="17" t="s">
        <v>3</v>
      </c>
      <c r="D62" s="34" t="s">
        <v>66</v>
      </c>
      <c r="E62" s="34"/>
      <c r="F62" s="34"/>
      <c r="G62" s="34"/>
      <c r="H62" s="34"/>
      <c r="I62" s="34"/>
    </row>
    <row r="63" spans="1:9" ht="48" customHeight="1" x14ac:dyDescent="0.35">
      <c r="A63" s="12">
        <v>44</v>
      </c>
      <c r="B63" s="27" t="s">
        <v>98</v>
      </c>
      <c r="C63" s="17" t="s">
        <v>3</v>
      </c>
      <c r="D63" s="34" t="s">
        <v>66</v>
      </c>
      <c r="E63" s="34"/>
      <c r="F63" s="34"/>
      <c r="G63" s="34"/>
      <c r="H63" s="34"/>
      <c r="I63" s="34"/>
    </row>
    <row r="64" spans="1:9" ht="48" customHeight="1" x14ac:dyDescent="0.35">
      <c r="A64" s="12">
        <v>45</v>
      </c>
      <c r="B64" s="27" t="s">
        <v>99</v>
      </c>
      <c r="C64" s="17" t="s">
        <v>3</v>
      </c>
      <c r="D64" s="34" t="s">
        <v>66</v>
      </c>
      <c r="E64" s="34"/>
      <c r="F64" s="34"/>
      <c r="G64" s="34"/>
      <c r="H64" s="34"/>
      <c r="I64" s="34"/>
    </row>
    <row r="65" spans="1:9" ht="32" customHeight="1" x14ac:dyDescent="0.35">
      <c r="A65" s="12">
        <v>46</v>
      </c>
      <c r="B65" s="27" t="s">
        <v>100</v>
      </c>
      <c r="C65" s="17" t="s">
        <v>3</v>
      </c>
      <c r="D65" s="34" t="s">
        <v>66</v>
      </c>
      <c r="E65" s="34"/>
      <c r="F65" s="34"/>
      <c r="G65" s="34"/>
      <c r="H65" s="34"/>
      <c r="I65" s="34"/>
    </row>
    <row r="66" spans="1:9" ht="32" customHeight="1" x14ac:dyDescent="0.35">
      <c r="A66" s="12">
        <v>47</v>
      </c>
      <c r="B66" s="27" t="s">
        <v>101</v>
      </c>
      <c r="C66" s="17" t="s">
        <v>3</v>
      </c>
      <c r="D66" s="34" t="s">
        <v>66</v>
      </c>
      <c r="E66" s="34"/>
      <c r="F66" s="34"/>
      <c r="G66" s="34"/>
      <c r="H66" s="34"/>
      <c r="I66" s="34"/>
    </row>
    <row r="67" spans="1:9" ht="48" customHeight="1" x14ac:dyDescent="0.35">
      <c r="A67" s="12">
        <v>48</v>
      </c>
      <c r="B67" s="27" t="s">
        <v>102</v>
      </c>
      <c r="C67" s="17" t="s">
        <v>3</v>
      </c>
      <c r="D67" s="34" t="s">
        <v>66</v>
      </c>
      <c r="E67" s="34"/>
      <c r="F67" s="34"/>
      <c r="G67" s="34"/>
      <c r="H67" s="34"/>
      <c r="I67" s="34"/>
    </row>
    <row r="68" spans="1:9" ht="48" customHeight="1" x14ac:dyDescent="0.35">
      <c r="A68" s="12">
        <v>49</v>
      </c>
      <c r="B68" s="27" t="s">
        <v>103</v>
      </c>
      <c r="C68" s="17" t="s">
        <v>3</v>
      </c>
      <c r="D68" s="34" t="s">
        <v>66</v>
      </c>
      <c r="E68" s="34"/>
      <c r="F68" s="34"/>
      <c r="G68" s="34"/>
      <c r="H68" s="34"/>
      <c r="I68" s="34"/>
    </row>
    <row r="69" spans="1:9" ht="48" customHeight="1" x14ac:dyDescent="0.35">
      <c r="A69" s="12">
        <v>50</v>
      </c>
      <c r="B69" s="27" t="s">
        <v>104</v>
      </c>
      <c r="C69" s="17" t="s">
        <v>3</v>
      </c>
      <c r="D69" s="34" t="s">
        <v>66</v>
      </c>
      <c r="E69" s="34"/>
      <c r="F69" s="34"/>
      <c r="G69" s="34"/>
      <c r="H69" s="34"/>
      <c r="I69" s="34"/>
    </row>
    <row r="70" spans="1:9" ht="32" customHeight="1" x14ac:dyDescent="0.35">
      <c r="A70" s="35">
        <v>51</v>
      </c>
      <c r="B70" s="36" t="s">
        <v>105</v>
      </c>
      <c r="C70" s="17" t="s">
        <v>3</v>
      </c>
      <c r="D70" s="20"/>
      <c r="E70" t="s">
        <v>106</v>
      </c>
    </row>
    <row r="71" spans="1:9" x14ac:dyDescent="0.35">
      <c r="A71" s="35"/>
      <c r="B71" s="36"/>
      <c r="C71" s="17"/>
      <c r="D71" s="20"/>
      <c r="E71" t="s">
        <v>107</v>
      </c>
    </row>
    <row r="72" spans="1:9" x14ac:dyDescent="0.35">
      <c r="A72" s="35"/>
      <c r="B72" s="36"/>
      <c r="C72" s="17"/>
      <c r="D72" s="20" t="s">
        <v>108</v>
      </c>
      <c r="E72" t="s">
        <v>109</v>
      </c>
    </row>
    <row r="73" spans="1:9" x14ac:dyDescent="0.35">
      <c r="A73" s="35"/>
      <c r="B73" s="36"/>
      <c r="C73" s="17"/>
      <c r="D73" s="20"/>
      <c r="E73" t="s">
        <v>110</v>
      </c>
    </row>
    <row r="74" spans="1:9" ht="16" customHeight="1" x14ac:dyDescent="0.35">
      <c r="A74" s="30">
        <v>52</v>
      </c>
      <c r="B74" s="27" t="s">
        <v>111</v>
      </c>
      <c r="C74" s="17" t="s">
        <v>3</v>
      </c>
      <c r="D74" t="s">
        <v>112</v>
      </c>
      <c r="F74" t="s">
        <v>113</v>
      </c>
      <c r="H74" t="s">
        <v>114</v>
      </c>
    </row>
    <row r="75" spans="1:9" x14ac:dyDescent="0.35">
      <c r="D75" s="7">
        <v>1</v>
      </c>
      <c r="F75" s="7">
        <v>0</v>
      </c>
      <c r="H75" s="7">
        <v>0</v>
      </c>
    </row>
    <row r="76" spans="1:9" ht="16" customHeight="1" x14ac:dyDescent="0.35">
      <c r="A76" s="12">
        <v>53</v>
      </c>
      <c r="B76" s="27" t="s">
        <v>115</v>
      </c>
      <c r="C76" s="17" t="s">
        <v>3</v>
      </c>
      <c r="D76" t="s">
        <v>112</v>
      </c>
      <c r="F76" t="s">
        <v>113</v>
      </c>
      <c r="H76" t="s">
        <v>114</v>
      </c>
    </row>
    <row r="77" spans="1:9" x14ac:dyDescent="0.35">
      <c r="D77" s="7">
        <v>1</v>
      </c>
      <c r="F77" s="7">
        <v>1</v>
      </c>
      <c r="H77" s="7">
        <v>0</v>
      </c>
    </row>
    <row r="78" spans="1:9" x14ac:dyDescent="0.35">
      <c r="A78" s="28" t="s">
        <v>116</v>
      </c>
      <c r="B78" s="28"/>
    </row>
    <row r="79" spans="1:9" ht="16" customHeight="1" x14ac:dyDescent="0.35">
      <c r="A79" s="37"/>
      <c r="B79" s="38" t="s">
        <v>117</v>
      </c>
      <c r="C79" s="39"/>
      <c r="D79" s="37" t="s">
        <v>118</v>
      </c>
      <c r="E79" s="37"/>
      <c r="F79" s="37"/>
      <c r="G79" s="37"/>
      <c r="H79" s="37"/>
      <c r="I79" s="37"/>
    </row>
    <row r="80" spans="1:9" x14ac:dyDescent="0.35">
      <c r="A80" s="37"/>
      <c r="B80" s="40"/>
      <c r="C80" s="41"/>
      <c r="D80" s="29" t="s">
        <v>119</v>
      </c>
      <c r="E80" s="29" t="s">
        <v>120</v>
      </c>
      <c r="F80" s="29" t="s">
        <v>121</v>
      </c>
      <c r="G80" s="29" t="s">
        <v>122</v>
      </c>
      <c r="H80" s="29" t="s">
        <v>123</v>
      </c>
      <c r="I80" s="29" t="s">
        <v>124</v>
      </c>
    </row>
    <row r="81" spans="1:9" ht="16" customHeight="1" x14ac:dyDescent="0.35">
      <c r="A81" s="7">
        <v>53</v>
      </c>
      <c r="B81" s="32" t="s">
        <v>125</v>
      </c>
      <c r="C81" s="33"/>
      <c r="D81" s="20"/>
      <c r="E81" s="20"/>
      <c r="F81" s="20"/>
      <c r="G81" s="20"/>
      <c r="H81" s="20"/>
      <c r="I81" s="20"/>
    </row>
    <row r="82" spans="1:9" ht="16" customHeight="1" x14ac:dyDescent="0.35">
      <c r="A82" s="7">
        <v>54</v>
      </c>
      <c r="B82" s="32" t="s">
        <v>126</v>
      </c>
      <c r="C82" s="33"/>
      <c r="D82" s="20"/>
      <c r="E82" s="20"/>
      <c r="F82" s="20"/>
      <c r="G82" s="20"/>
      <c r="H82" s="20"/>
      <c r="I82" s="20"/>
    </row>
    <row r="83" spans="1:9" ht="16" customHeight="1" x14ac:dyDescent="0.35">
      <c r="A83" s="7">
        <v>55</v>
      </c>
      <c r="B83" s="32" t="s">
        <v>127</v>
      </c>
      <c r="C83" s="33"/>
      <c r="D83" s="20"/>
      <c r="E83" s="20"/>
      <c r="F83" s="20"/>
      <c r="G83" s="20"/>
      <c r="H83" s="20"/>
      <c r="I83" s="20"/>
    </row>
    <row r="84" spans="1:9" ht="16" customHeight="1" x14ac:dyDescent="0.35">
      <c r="A84" s="7">
        <v>56</v>
      </c>
      <c r="B84" s="32" t="s">
        <v>128</v>
      </c>
      <c r="C84" s="33"/>
      <c r="D84" s="20"/>
      <c r="E84" s="20"/>
      <c r="F84" s="20"/>
      <c r="G84" s="20"/>
      <c r="H84" s="20"/>
      <c r="I84" s="20"/>
    </row>
    <row r="85" spans="1:9" ht="16" customHeight="1" x14ac:dyDescent="0.35">
      <c r="A85" s="7">
        <v>57</v>
      </c>
      <c r="B85" s="32" t="s">
        <v>129</v>
      </c>
      <c r="C85" s="33"/>
      <c r="D85" s="20"/>
      <c r="E85" s="20"/>
      <c r="F85" s="20"/>
      <c r="G85" s="20"/>
      <c r="H85" s="20"/>
      <c r="I85" s="20"/>
    </row>
  </sheetData>
  <sheetProtection formatCells="0" formatColumns="0" formatRows="0" insertColumns="0" insertRows="0" insertHyperlinks="0" deleteColumns="0" deleteRows="0" sort="0" autoFilter="0" pivotTables="0"/>
  <mergeCells count="78">
    <mergeCell ref="A48:B48"/>
    <mergeCell ref="A61:B61"/>
    <mergeCell ref="D50:I50"/>
    <mergeCell ref="D53:I53"/>
    <mergeCell ref="D56:I56"/>
    <mergeCell ref="D59:I59"/>
    <mergeCell ref="D54:I54"/>
    <mergeCell ref="D49:I49"/>
    <mergeCell ref="D51:I51"/>
    <mergeCell ref="D43:I43"/>
    <mergeCell ref="D44:I44"/>
    <mergeCell ref="D45:I45"/>
    <mergeCell ref="D46:I46"/>
    <mergeCell ref="A47:I47"/>
    <mergeCell ref="D38:I38"/>
    <mergeCell ref="A39:I39"/>
    <mergeCell ref="D40:I40"/>
    <mergeCell ref="D41:I41"/>
    <mergeCell ref="D42:I42"/>
    <mergeCell ref="D33:I33"/>
    <mergeCell ref="A34:I34"/>
    <mergeCell ref="D35:I35"/>
    <mergeCell ref="D36:I36"/>
    <mergeCell ref="D37:I37"/>
    <mergeCell ref="D28:I28"/>
    <mergeCell ref="D29:I29"/>
    <mergeCell ref="D30:I30"/>
    <mergeCell ref="D31:I31"/>
    <mergeCell ref="D32:I32"/>
    <mergeCell ref="D23:I23"/>
    <mergeCell ref="D24:I24"/>
    <mergeCell ref="D25:I25"/>
    <mergeCell ref="D26:I26"/>
    <mergeCell ref="D27:I27"/>
    <mergeCell ref="D17:F17"/>
    <mergeCell ref="D19:I19"/>
    <mergeCell ref="D20:I20"/>
    <mergeCell ref="D21:I21"/>
    <mergeCell ref="D22:I22"/>
    <mergeCell ref="D12:I12"/>
    <mergeCell ref="D13:I13"/>
    <mergeCell ref="D14:I14"/>
    <mergeCell ref="D15:I15"/>
    <mergeCell ref="D16:F16"/>
    <mergeCell ref="D7:I7"/>
    <mergeCell ref="D8:I8"/>
    <mergeCell ref="G9:I9"/>
    <mergeCell ref="D10:I10"/>
    <mergeCell ref="D11:I11"/>
    <mergeCell ref="A1:I1"/>
    <mergeCell ref="A3:I3"/>
    <mergeCell ref="D4:I4"/>
    <mergeCell ref="D5:I5"/>
    <mergeCell ref="D6:I6"/>
    <mergeCell ref="D52:I52"/>
    <mergeCell ref="D55:I55"/>
    <mergeCell ref="D57:I57"/>
    <mergeCell ref="D58:I58"/>
    <mergeCell ref="D60:I60"/>
    <mergeCell ref="D61:I61"/>
    <mergeCell ref="D64:I64"/>
    <mergeCell ref="D66:I66"/>
    <mergeCell ref="D67:I67"/>
    <mergeCell ref="D68:I68"/>
    <mergeCell ref="D63:I63"/>
    <mergeCell ref="D62:I62"/>
    <mergeCell ref="D69:I69"/>
    <mergeCell ref="D65:I65"/>
    <mergeCell ref="A70:A73"/>
    <mergeCell ref="B70:B73"/>
    <mergeCell ref="D79:I79"/>
    <mergeCell ref="A79:A80"/>
    <mergeCell ref="B79:C80"/>
    <mergeCell ref="B81:C81"/>
    <mergeCell ref="B82:C82"/>
    <mergeCell ref="B83:C83"/>
    <mergeCell ref="B84:C84"/>
    <mergeCell ref="B85:C85"/>
  </mergeCells>
  <pageMargins left="0.69930555555555995" right="0.6993055555555599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1"/>
  <sheetViews>
    <sheetView tabSelected="1" workbookViewId="0">
      <pane ySplit="6" topLeftCell="A7" activePane="bottomLeft" state="frozen"/>
      <selection pane="bottomLeft" activeCell="A7" sqref="A7"/>
    </sheetView>
  </sheetViews>
  <sheetFormatPr defaultColWidth="9" defaultRowHeight="14.5" x14ac:dyDescent="0.35"/>
  <cols>
    <col min="1" max="1" width="5.453125" customWidth="1"/>
    <col min="2" max="2" width="32.1796875" customWidth="1"/>
    <col min="3" max="3" width="18.81640625" customWidth="1"/>
    <col min="4" max="4" width="4.81640625" customWidth="1"/>
    <col min="5" max="5" width="16.81640625" customWidth="1"/>
    <col min="6" max="6" width="16.453125" customWidth="1"/>
    <col min="7" max="7" width="19.453125" customWidth="1"/>
    <col min="8" max="8" width="21" customWidth="1"/>
    <col min="9" max="9" width="26.81640625" customWidth="1"/>
    <col min="10" max="10" width="15.36328125" customWidth="1"/>
    <col min="11" max="11" width="15.6328125" customWidth="1"/>
    <col min="12" max="12" width="15.453125" customWidth="1"/>
    <col min="13" max="13" width="38.453125" customWidth="1"/>
    <col min="14" max="14" width="33" customWidth="1"/>
    <col min="15" max="15" width="14.36328125" customWidth="1"/>
    <col min="16" max="16" width="20.81640625" customWidth="1"/>
    <col min="17" max="17" width="33.36328125" customWidth="1"/>
    <col min="18" max="20" width="13" customWidth="1"/>
    <col min="21" max="21" width="9.36328125" customWidth="1"/>
    <col min="22" max="22" width="32.453125" customWidth="1"/>
    <col min="23" max="23" width="19.1796875" customWidth="1"/>
    <col min="24" max="24" width="18.453125" customWidth="1"/>
    <col min="25" max="49" width="9.1796875" customWidth="1"/>
  </cols>
  <sheetData>
    <row r="1" spans="1:49" ht="21" customHeight="1" x14ac:dyDescent="0.5">
      <c r="A1" s="2" t="s">
        <v>130</v>
      </c>
    </row>
    <row r="2" spans="1:49" ht="19" customHeight="1" x14ac:dyDescent="0.45">
      <c r="A2" s="3" t="s">
        <v>4</v>
      </c>
    </row>
    <row r="3" spans="1:49" x14ac:dyDescent="0.35">
      <c r="A3" t="s">
        <v>131</v>
      </c>
    </row>
    <row r="4" spans="1:49" x14ac:dyDescent="0.35">
      <c r="A4" t="s">
        <v>132</v>
      </c>
      <c r="C4" t="s">
        <v>133</v>
      </c>
    </row>
    <row r="5" spans="1:49" ht="16" customHeight="1" x14ac:dyDescent="0.35">
      <c r="A5" s="55" t="s">
        <v>134</v>
      </c>
      <c r="B5" s="55" t="s">
        <v>135</v>
      </c>
      <c r="C5" s="55" t="s">
        <v>136</v>
      </c>
      <c r="D5" s="55" t="s">
        <v>137</v>
      </c>
      <c r="E5" s="55" t="s">
        <v>138</v>
      </c>
      <c r="F5" s="55" t="s">
        <v>139</v>
      </c>
      <c r="G5" s="55" t="s">
        <v>140</v>
      </c>
      <c r="H5" s="54" t="s">
        <v>141</v>
      </c>
      <c r="I5" s="54" t="s">
        <v>142</v>
      </c>
      <c r="J5" s="54" t="s">
        <v>143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 t="s">
        <v>144</v>
      </c>
      <c r="X5" s="54" t="s">
        <v>145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s="12" customFormat="1" ht="30" customHeight="1" x14ac:dyDescent="0.35">
      <c r="A6" s="55"/>
      <c r="B6" s="55"/>
      <c r="C6" s="55"/>
      <c r="D6" s="55"/>
      <c r="E6" s="55"/>
      <c r="F6" s="55"/>
      <c r="G6" s="55"/>
      <c r="H6" s="54"/>
      <c r="I6" s="54"/>
      <c r="J6" s="10" t="s">
        <v>146</v>
      </c>
      <c r="K6" s="10" t="s">
        <v>147</v>
      </c>
      <c r="L6" s="10" t="s">
        <v>148</v>
      </c>
      <c r="M6" s="10" t="s">
        <v>149</v>
      </c>
      <c r="N6" s="10" t="s">
        <v>150</v>
      </c>
      <c r="O6" s="10" t="s">
        <v>151</v>
      </c>
      <c r="P6" s="10" t="s">
        <v>152</v>
      </c>
      <c r="Q6" s="10" t="s">
        <v>153</v>
      </c>
      <c r="R6" s="11" t="s">
        <v>154</v>
      </c>
      <c r="S6" s="10" t="s">
        <v>155</v>
      </c>
      <c r="T6" s="10" t="s">
        <v>156</v>
      </c>
      <c r="U6" s="10" t="s">
        <v>157</v>
      </c>
      <c r="V6" s="10" t="s">
        <v>158</v>
      </c>
      <c r="W6" s="54"/>
      <c r="X6" s="54"/>
    </row>
    <row r="7" spans="1:49" x14ac:dyDescent="0.35">
      <c r="A7">
        <v>1</v>
      </c>
      <c r="B7" t="s">
        <v>159</v>
      </c>
      <c r="C7" s="31" t="s">
        <v>160</v>
      </c>
      <c r="D7" t="s">
        <v>161</v>
      </c>
      <c r="E7" t="s">
        <v>17</v>
      </c>
      <c r="F7" t="s">
        <v>162</v>
      </c>
      <c r="G7" s="31"/>
      <c r="H7" t="s">
        <v>163</v>
      </c>
      <c r="I7" t="s">
        <v>119</v>
      </c>
      <c r="J7" t="s">
        <v>164</v>
      </c>
      <c r="K7" t="s">
        <v>165</v>
      </c>
      <c r="L7" t="s">
        <v>166</v>
      </c>
      <c r="M7" t="s">
        <v>167</v>
      </c>
      <c r="N7" t="s">
        <v>168</v>
      </c>
      <c r="O7" t="s">
        <v>169</v>
      </c>
      <c r="P7" t="s">
        <v>170</v>
      </c>
      <c r="R7">
        <v>12</v>
      </c>
      <c r="T7">
        <v>12</v>
      </c>
      <c r="V7" t="s">
        <v>167</v>
      </c>
      <c r="W7" s="31" t="s">
        <v>171</v>
      </c>
      <c r="X7" t="s">
        <v>172</v>
      </c>
    </row>
    <row r="8" spans="1:49" x14ac:dyDescent="0.35">
      <c r="A8">
        <v>2</v>
      </c>
      <c r="B8" t="s">
        <v>173</v>
      </c>
      <c r="C8" s="31" t="s">
        <v>174</v>
      </c>
      <c r="D8" t="s">
        <v>161</v>
      </c>
      <c r="E8" t="s">
        <v>175</v>
      </c>
      <c r="F8" t="s">
        <v>176</v>
      </c>
      <c r="G8" s="31"/>
      <c r="H8" t="s">
        <v>163</v>
      </c>
      <c r="I8" t="s">
        <v>119</v>
      </c>
      <c r="J8" t="s">
        <v>164</v>
      </c>
      <c r="K8" t="s">
        <v>165</v>
      </c>
      <c r="L8" t="s">
        <v>166</v>
      </c>
      <c r="M8" t="s">
        <v>177</v>
      </c>
      <c r="O8" t="s">
        <v>178</v>
      </c>
      <c r="P8" t="s">
        <v>179</v>
      </c>
      <c r="R8">
        <v>12</v>
      </c>
      <c r="T8">
        <v>12</v>
      </c>
      <c r="V8" t="s">
        <v>177</v>
      </c>
      <c r="W8" s="31" t="s">
        <v>180</v>
      </c>
      <c r="X8" t="s">
        <v>181</v>
      </c>
    </row>
    <row r="9" spans="1:49" x14ac:dyDescent="0.35">
      <c r="A9">
        <v>3</v>
      </c>
      <c r="B9" t="s">
        <v>182</v>
      </c>
      <c r="C9" s="31"/>
      <c r="D9" t="s">
        <v>183</v>
      </c>
      <c r="E9" t="s">
        <v>184</v>
      </c>
      <c r="F9" t="s">
        <v>185</v>
      </c>
      <c r="G9" s="31"/>
      <c r="H9" t="s">
        <v>163</v>
      </c>
      <c r="I9" t="s">
        <v>186</v>
      </c>
      <c r="J9" t="s">
        <v>164</v>
      </c>
      <c r="K9" t="s">
        <v>187</v>
      </c>
      <c r="L9" t="s">
        <v>188</v>
      </c>
      <c r="M9" t="s">
        <v>189</v>
      </c>
      <c r="O9" t="s">
        <v>169</v>
      </c>
      <c r="W9" s="31" t="s">
        <v>190</v>
      </c>
      <c r="X9" t="s">
        <v>191</v>
      </c>
    </row>
    <row r="10" spans="1:49" x14ac:dyDescent="0.35">
      <c r="A10">
        <v>4</v>
      </c>
      <c r="B10" t="s">
        <v>192</v>
      </c>
      <c r="C10" s="31"/>
      <c r="D10" t="s">
        <v>183</v>
      </c>
      <c r="E10" t="s">
        <v>193</v>
      </c>
      <c r="F10" t="s">
        <v>194</v>
      </c>
      <c r="G10" s="31"/>
      <c r="H10" t="s">
        <v>163</v>
      </c>
      <c r="I10" t="s">
        <v>119</v>
      </c>
      <c r="J10" t="s">
        <v>164</v>
      </c>
      <c r="K10" t="s">
        <v>165</v>
      </c>
      <c r="L10" t="s">
        <v>166</v>
      </c>
      <c r="M10" t="s">
        <v>195</v>
      </c>
      <c r="O10" t="s">
        <v>196</v>
      </c>
      <c r="W10" s="31" t="s">
        <v>197</v>
      </c>
      <c r="X10" t="s">
        <v>198</v>
      </c>
    </row>
    <row r="11" spans="1:49" x14ac:dyDescent="0.35">
      <c r="A11">
        <v>5</v>
      </c>
      <c r="B11" t="s">
        <v>199</v>
      </c>
      <c r="C11" s="31" t="s">
        <v>200</v>
      </c>
      <c r="D11" t="s">
        <v>183</v>
      </c>
      <c r="E11" t="s">
        <v>201</v>
      </c>
      <c r="F11" t="s">
        <v>202</v>
      </c>
      <c r="G11" s="31"/>
      <c r="H11" t="s">
        <v>163</v>
      </c>
      <c r="I11" t="s">
        <v>119</v>
      </c>
      <c r="J11" t="s">
        <v>164</v>
      </c>
      <c r="K11" t="s">
        <v>203</v>
      </c>
      <c r="L11" t="s">
        <v>166</v>
      </c>
      <c r="M11" t="s">
        <v>189</v>
      </c>
      <c r="N11" t="s">
        <v>204</v>
      </c>
      <c r="O11" t="s">
        <v>178</v>
      </c>
      <c r="P11" t="s">
        <v>205</v>
      </c>
      <c r="R11">
        <v>6</v>
      </c>
      <c r="T11">
        <v>6</v>
      </c>
      <c r="V11" t="s">
        <v>189</v>
      </c>
      <c r="W11" s="31" t="s">
        <v>206</v>
      </c>
      <c r="X11" t="s">
        <v>207</v>
      </c>
    </row>
    <row r="12" spans="1:49" x14ac:dyDescent="0.35">
      <c r="A12">
        <v>6</v>
      </c>
      <c r="B12" t="s">
        <v>208</v>
      </c>
      <c r="C12" s="31" t="s">
        <v>209</v>
      </c>
      <c r="D12" t="s">
        <v>183</v>
      </c>
      <c r="E12" t="s">
        <v>17</v>
      </c>
      <c r="F12" t="s">
        <v>210</v>
      </c>
      <c r="G12" s="31"/>
      <c r="H12" t="s">
        <v>163</v>
      </c>
      <c r="I12" t="s">
        <v>119</v>
      </c>
      <c r="J12" t="s">
        <v>164</v>
      </c>
      <c r="K12" t="s">
        <v>165</v>
      </c>
      <c r="L12" t="s">
        <v>166</v>
      </c>
      <c r="M12" t="s">
        <v>211</v>
      </c>
      <c r="N12" t="s">
        <v>212</v>
      </c>
      <c r="O12" t="s">
        <v>213</v>
      </c>
      <c r="P12" t="s">
        <v>214</v>
      </c>
      <c r="R12">
        <v>14</v>
      </c>
      <c r="T12">
        <v>14</v>
      </c>
      <c r="V12" t="s">
        <v>211</v>
      </c>
      <c r="W12" s="31" t="s">
        <v>215</v>
      </c>
      <c r="X12" t="s">
        <v>216</v>
      </c>
    </row>
    <row r="13" spans="1:49" x14ac:dyDescent="0.35">
      <c r="A13">
        <v>7</v>
      </c>
      <c r="B13" t="s">
        <v>217</v>
      </c>
      <c r="C13" s="31" t="s">
        <v>218</v>
      </c>
      <c r="D13" t="s">
        <v>183</v>
      </c>
      <c r="E13" t="s">
        <v>17</v>
      </c>
      <c r="F13" t="s">
        <v>219</v>
      </c>
      <c r="G13" s="31"/>
      <c r="H13" t="s">
        <v>163</v>
      </c>
      <c r="I13" t="s">
        <v>119</v>
      </c>
      <c r="K13" t="s">
        <v>220</v>
      </c>
      <c r="L13" t="s">
        <v>166</v>
      </c>
      <c r="M13" t="s">
        <v>195</v>
      </c>
      <c r="O13" t="s">
        <v>169</v>
      </c>
      <c r="V13" t="s">
        <v>195</v>
      </c>
      <c r="W13" s="31" t="s">
        <v>221</v>
      </c>
      <c r="X13" t="s">
        <v>222</v>
      </c>
    </row>
    <row r="14" spans="1:49" x14ac:dyDescent="0.35">
      <c r="A14">
        <v>8</v>
      </c>
      <c r="B14" t="s">
        <v>223</v>
      </c>
      <c r="C14" s="31" t="s">
        <v>224</v>
      </c>
      <c r="D14" t="s">
        <v>183</v>
      </c>
      <c r="E14" t="s">
        <v>17</v>
      </c>
      <c r="F14" t="s">
        <v>225</v>
      </c>
      <c r="G14" s="31"/>
      <c r="H14" t="s">
        <v>163</v>
      </c>
      <c r="I14" t="s">
        <v>226</v>
      </c>
      <c r="J14" t="s">
        <v>164</v>
      </c>
      <c r="K14" t="s">
        <v>165</v>
      </c>
      <c r="L14" t="s">
        <v>166</v>
      </c>
      <c r="M14" t="s">
        <v>227</v>
      </c>
      <c r="N14" t="s">
        <v>228</v>
      </c>
      <c r="O14" t="s">
        <v>169</v>
      </c>
      <c r="P14" t="s">
        <v>226</v>
      </c>
      <c r="R14">
        <v>24</v>
      </c>
      <c r="T14">
        <v>24</v>
      </c>
      <c r="V14" t="s">
        <v>227</v>
      </c>
      <c r="W14" s="31" t="s">
        <v>229</v>
      </c>
      <c r="X14" t="s">
        <v>226</v>
      </c>
    </row>
    <row r="15" spans="1:49" x14ac:dyDescent="0.35">
      <c r="A15">
        <v>9</v>
      </c>
      <c r="B15" t="s">
        <v>230</v>
      </c>
      <c r="C15" s="31" t="s">
        <v>231</v>
      </c>
      <c r="D15" t="s">
        <v>161</v>
      </c>
      <c r="E15" t="s">
        <v>232</v>
      </c>
      <c r="F15" t="s">
        <v>233</v>
      </c>
      <c r="G15" s="31"/>
      <c r="H15" t="s">
        <v>234</v>
      </c>
      <c r="I15" t="s">
        <v>119</v>
      </c>
      <c r="K15" t="s">
        <v>165</v>
      </c>
      <c r="L15" t="s">
        <v>166</v>
      </c>
      <c r="M15" t="s">
        <v>235</v>
      </c>
      <c r="O15" t="s">
        <v>236</v>
      </c>
      <c r="W15" s="31" t="s">
        <v>237</v>
      </c>
      <c r="X15" t="s">
        <v>238</v>
      </c>
    </row>
    <row r="16" spans="1:49" x14ac:dyDescent="0.35">
      <c r="A16">
        <v>10</v>
      </c>
      <c r="B16" t="s">
        <v>239</v>
      </c>
      <c r="C16" s="31" t="s">
        <v>240</v>
      </c>
      <c r="D16" t="s">
        <v>161</v>
      </c>
      <c r="E16" t="s">
        <v>241</v>
      </c>
      <c r="F16" t="s">
        <v>242</v>
      </c>
      <c r="G16" s="31" t="s">
        <v>243</v>
      </c>
      <c r="H16" t="s">
        <v>244</v>
      </c>
      <c r="I16" t="s">
        <v>119</v>
      </c>
      <c r="L16" t="s">
        <v>166</v>
      </c>
      <c r="M16" t="s">
        <v>245</v>
      </c>
      <c r="N16" t="s">
        <v>228</v>
      </c>
      <c r="O16" t="s">
        <v>246</v>
      </c>
      <c r="V16" t="s">
        <v>228</v>
      </c>
      <c r="W16" s="31" t="s">
        <v>247</v>
      </c>
      <c r="X16" t="s">
        <v>248</v>
      </c>
    </row>
    <row r="17" spans="1:24" x14ac:dyDescent="0.35">
      <c r="A17">
        <v>11</v>
      </c>
      <c r="B17" t="s">
        <v>249</v>
      </c>
      <c r="C17" s="31" t="s">
        <v>250</v>
      </c>
      <c r="D17" t="s">
        <v>183</v>
      </c>
      <c r="E17" t="s">
        <v>251</v>
      </c>
      <c r="F17" t="s">
        <v>252</v>
      </c>
      <c r="G17" s="31"/>
      <c r="H17" t="s">
        <v>163</v>
      </c>
      <c r="I17" t="s">
        <v>119</v>
      </c>
      <c r="J17" t="s">
        <v>164</v>
      </c>
      <c r="K17" t="s">
        <v>165</v>
      </c>
      <c r="L17" t="s">
        <v>166</v>
      </c>
      <c r="M17" t="s">
        <v>253</v>
      </c>
      <c r="N17" t="s">
        <v>254</v>
      </c>
      <c r="O17" t="s">
        <v>255</v>
      </c>
      <c r="P17" t="s">
        <v>256</v>
      </c>
      <c r="R17">
        <v>16</v>
      </c>
      <c r="T17">
        <v>16</v>
      </c>
      <c r="W17" s="31" t="s">
        <v>257</v>
      </c>
      <c r="X17" t="s">
        <v>258</v>
      </c>
    </row>
    <row r="18" spans="1:24" x14ac:dyDescent="0.35">
      <c r="A18">
        <v>12</v>
      </c>
      <c r="B18" t="s">
        <v>259</v>
      </c>
      <c r="C18" s="31" t="s">
        <v>260</v>
      </c>
      <c r="D18" t="s">
        <v>161</v>
      </c>
      <c r="E18" t="s">
        <v>17</v>
      </c>
      <c r="F18" t="s">
        <v>261</v>
      </c>
      <c r="G18" s="31"/>
      <c r="H18" t="s">
        <v>163</v>
      </c>
      <c r="I18" t="s">
        <v>119</v>
      </c>
      <c r="J18" t="s">
        <v>164</v>
      </c>
      <c r="K18" t="s">
        <v>165</v>
      </c>
      <c r="L18" t="s">
        <v>166</v>
      </c>
      <c r="M18" t="s">
        <v>262</v>
      </c>
      <c r="N18" t="s">
        <v>262</v>
      </c>
      <c r="O18" t="s">
        <v>169</v>
      </c>
      <c r="P18" t="s">
        <v>263</v>
      </c>
      <c r="R18">
        <v>12</v>
      </c>
      <c r="T18">
        <v>12</v>
      </c>
      <c r="V18" t="s">
        <v>262</v>
      </c>
      <c r="W18" s="31" t="s">
        <v>264</v>
      </c>
      <c r="X18" t="s">
        <v>265</v>
      </c>
    </row>
    <row r="19" spans="1:24" x14ac:dyDescent="0.35">
      <c r="A19">
        <v>13</v>
      </c>
      <c r="B19" t="s">
        <v>266</v>
      </c>
      <c r="C19" s="31" t="s">
        <v>267</v>
      </c>
      <c r="D19" t="s">
        <v>161</v>
      </c>
      <c r="E19" t="s">
        <v>268</v>
      </c>
      <c r="F19" t="s">
        <v>269</v>
      </c>
      <c r="G19" s="31"/>
      <c r="H19" t="s">
        <v>163</v>
      </c>
      <c r="I19" t="s">
        <v>119</v>
      </c>
      <c r="J19" t="s">
        <v>164</v>
      </c>
      <c r="K19" t="s">
        <v>165</v>
      </c>
      <c r="L19" t="s">
        <v>166</v>
      </c>
      <c r="M19" t="s">
        <v>270</v>
      </c>
      <c r="N19" t="s">
        <v>271</v>
      </c>
      <c r="O19" t="s">
        <v>272</v>
      </c>
      <c r="V19" t="s">
        <v>270</v>
      </c>
      <c r="W19" s="31" t="s">
        <v>273</v>
      </c>
      <c r="X19" t="s">
        <v>172</v>
      </c>
    </row>
    <row r="20" spans="1:24" x14ac:dyDescent="0.35">
      <c r="A20">
        <v>14</v>
      </c>
      <c r="B20" t="s">
        <v>274</v>
      </c>
      <c r="C20" s="31" t="s">
        <v>275</v>
      </c>
      <c r="D20" t="s">
        <v>161</v>
      </c>
      <c r="E20" t="s">
        <v>193</v>
      </c>
      <c r="F20" t="s">
        <v>276</v>
      </c>
      <c r="G20" s="31" t="s">
        <v>277</v>
      </c>
      <c r="H20" t="s">
        <v>278</v>
      </c>
      <c r="I20" t="s">
        <v>119</v>
      </c>
      <c r="K20" t="s">
        <v>165</v>
      </c>
      <c r="L20" t="s">
        <v>166</v>
      </c>
      <c r="M20" t="s">
        <v>279</v>
      </c>
      <c r="N20" t="s">
        <v>279</v>
      </c>
      <c r="O20" t="s">
        <v>280</v>
      </c>
      <c r="V20" t="s">
        <v>279</v>
      </c>
      <c r="W20" s="31" t="s">
        <v>281</v>
      </c>
      <c r="X20" t="s">
        <v>282</v>
      </c>
    </row>
    <row r="21" spans="1:24" x14ac:dyDescent="0.35">
      <c r="A21">
        <v>15</v>
      </c>
      <c r="B21" t="s">
        <v>283</v>
      </c>
      <c r="C21" s="31" t="s">
        <v>284</v>
      </c>
      <c r="D21" t="s">
        <v>161</v>
      </c>
      <c r="E21" t="s">
        <v>285</v>
      </c>
      <c r="F21" t="s">
        <v>286</v>
      </c>
      <c r="G21" s="31"/>
      <c r="H21" t="s">
        <v>163</v>
      </c>
      <c r="I21" t="s">
        <v>186</v>
      </c>
      <c r="K21" t="s">
        <v>287</v>
      </c>
      <c r="L21" t="s">
        <v>166</v>
      </c>
      <c r="M21" t="s">
        <v>288</v>
      </c>
      <c r="O21" t="s">
        <v>169</v>
      </c>
      <c r="V21" t="s">
        <v>288</v>
      </c>
      <c r="W21" s="31" t="s">
        <v>289</v>
      </c>
      <c r="X21" t="s">
        <v>191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5:A6"/>
    <mergeCell ref="B5:B6"/>
    <mergeCell ref="C5:C6"/>
    <mergeCell ref="D5:D6"/>
    <mergeCell ref="E5:E6"/>
    <mergeCell ref="W5:W6"/>
    <mergeCell ref="X5:X6"/>
    <mergeCell ref="F5:F6"/>
    <mergeCell ref="G5:G6"/>
    <mergeCell ref="H5:H6"/>
    <mergeCell ref="I5:I6"/>
    <mergeCell ref="J5:V5"/>
  </mergeCells>
  <pageMargins left="0.69930555555555995" right="0.69930555555555995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zoomScale="150" workbookViewId="0">
      <selection activeCell="A27" sqref="A27"/>
    </sheetView>
  </sheetViews>
  <sheetFormatPr defaultColWidth="9" defaultRowHeight="14.5" x14ac:dyDescent="0.35"/>
  <cols>
    <col min="1" max="1" width="14.36328125" customWidth="1"/>
    <col min="2" max="3" width="12.36328125" customWidth="1"/>
    <col min="5" max="5" width="3.453125" customWidth="1"/>
    <col min="7" max="7" width="18.453125" customWidth="1"/>
    <col min="11" max="11" width="3.453125" customWidth="1"/>
    <col min="12" max="12" width="22.453125" customWidth="1"/>
  </cols>
  <sheetData>
    <row r="1" spans="1:15" ht="21" customHeight="1" x14ac:dyDescent="0.5">
      <c r="A1" s="2" t="s">
        <v>290</v>
      </c>
    </row>
    <row r="2" spans="1:15" ht="19" customHeight="1" x14ac:dyDescent="0.45">
      <c r="A2" s="3" t="s">
        <v>4</v>
      </c>
    </row>
    <row r="3" spans="1:15" x14ac:dyDescent="0.35">
      <c r="A3" t="s">
        <v>131</v>
      </c>
    </row>
    <row r="4" spans="1:15" x14ac:dyDescent="0.35">
      <c r="A4" t="s">
        <v>132</v>
      </c>
      <c r="D4" t="s">
        <v>133</v>
      </c>
    </row>
    <row r="6" spans="1:15" x14ac:dyDescent="0.35">
      <c r="A6" s="5" t="s">
        <v>291</v>
      </c>
      <c r="F6" s="5" t="s">
        <v>292</v>
      </c>
      <c r="L6" s="5" t="s">
        <v>293</v>
      </c>
    </row>
    <row r="7" spans="1:15" x14ac:dyDescent="0.35">
      <c r="A7" s="6" t="s">
        <v>294</v>
      </c>
      <c r="B7" s="6" t="s">
        <v>295</v>
      </c>
      <c r="C7" s="6" t="s">
        <v>296</v>
      </c>
      <c r="F7" s="58" t="s">
        <v>297</v>
      </c>
      <c r="G7" s="59"/>
      <c r="H7" s="4" t="s">
        <v>183</v>
      </c>
      <c r="I7" s="4" t="s">
        <v>161</v>
      </c>
      <c r="J7" s="4" t="s">
        <v>296</v>
      </c>
      <c r="L7" s="13" t="s">
        <v>298</v>
      </c>
      <c r="M7" s="4" t="s">
        <v>183</v>
      </c>
      <c r="N7" s="4" t="s">
        <v>161</v>
      </c>
      <c r="O7" s="4" t="s">
        <v>296</v>
      </c>
    </row>
    <row r="8" spans="1:15" x14ac:dyDescent="0.35">
      <c r="A8" s="7">
        <v>25</v>
      </c>
      <c r="B8" s="7">
        <v>25</v>
      </c>
      <c r="C8" s="7">
        <v>50</v>
      </c>
      <c r="F8" s="56" t="s">
        <v>299</v>
      </c>
      <c r="G8" s="57"/>
      <c r="H8" s="8">
        <v>25</v>
      </c>
      <c r="I8" s="8">
        <v>25</v>
      </c>
      <c r="J8" s="8">
        <f t="shared" ref="J8:J15" si="0">SUM(H8:I8)</f>
        <v>50</v>
      </c>
      <c r="L8" s="14" t="s">
        <v>300</v>
      </c>
      <c r="M8" s="1">
        <v>12</v>
      </c>
      <c r="N8" s="1">
        <v>9</v>
      </c>
      <c r="O8" s="1">
        <v>21</v>
      </c>
    </row>
    <row r="9" spans="1:15" x14ac:dyDescent="0.35">
      <c r="F9" s="56" t="s">
        <v>301</v>
      </c>
      <c r="G9" s="57"/>
      <c r="H9" s="8">
        <v>0</v>
      </c>
      <c r="I9" s="8">
        <v>0</v>
      </c>
      <c r="J9" s="8">
        <f t="shared" si="0"/>
        <v>0</v>
      </c>
      <c r="L9" s="14" t="s">
        <v>302</v>
      </c>
      <c r="M9" s="1">
        <v>12</v>
      </c>
      <c r="N9" s="1">
        <v>15</v>
      </c>
      <c r="O9" s="1">
        <v>27</v>
      </c>
    </row>
    <row r="10" spans="1:15" x14ac:dyDescent="0.35">
      <c r="A10" s="5" t="s">
        <v>303</v>
      </c>
      <c r="F10" s="56" t="s">
        <v>304</v>
      </c>
      <c r="G10" s="57"/>
      <c r="H10" s="8">
        <v>0</v>
      </c>
      <c r="I10" s="8">
        <v>0</v>
      </c>
      <c r="J10" s="8">
        <f t="shared" si="0"/>
        <v>0</v>
      </c>
      <c r="L10" s="14" t="s">
        <v>305</v>
      </c>
      <c r="M10" s="1">
        <v>1</v>
      </c>
      <c r="N10" s="1">
        <v>0</v>
      </c>
      <c r="O10" s="1">
        <v>1</v>
      </c>
    </row>
    <row r="11" spans="1:15" x14ac:dyDescent="0.35">
      <c r="A11" s="6" t="s">
        <v>306</v>
      </c>
      <c r="B11" s="6" t="s">
        <v>183</v>
      </c>
      <c r="C11" s="6" t="s">
        <v>161</v>
      </c>
      <c r="D11" s="6" t="s">
        <v>296</v>
      </c>
      <c r="F11" s="56" t="s">
        <v>307</v>
      </c>
      <c r="G11" s="57"/>
      <c r="H11" s="8">
        <v>0</v>
      </c>
      <c r="I11" s="8">
        <v>0</v>
      </c>
      <c r="J11" s="8">
        <f t="shared" si="0"/>
        <v>0</v>
      </c>
      <c r="L11" s="14" t="s">
        <v>308</v>
      </c>
      <c r="M11" s="1">
        <v>0</v>
      </c>
      <c r="N11" s="1">
        <v>1</v>
      </c>
      <c r="O11" s="1">
        <v>1</v>
      </c>
    </row>
    <row r="12" spans="1:15" x14ac:dyDescent="0.35">
      <c r="A12" s="7" t="s">
        <v>309</v>
      </c>
      <c r="B12" s="7">
        <v>0</v>
      </c>
      <c r="C12" s="7">
        <v>0</v>
      </c>
      <c r="D12" s="7">
        <v>0</v>
      </c>
      <c r="F12" s="56" t="s">
        <v>310</v>
      </c>
      <c r="G12" s="57"/>
      <c r="H12" s="8">
        <v>0</v>
      </c>
      <c r="I12" s="8">
        <v>0</v>
      </c>
      <c r="J12" s="8">
        <f t="shared" si="0"/>
        <v>0</v>
      </c>
      <c r="L12" s="14" t="s">
        <v>296</v>
      </c>
      <c r="M12" s="1">
        <v>25</v>
      </c>
      <c r="N12" s="1">
        <v>25</v>
      </c>
      <c r="O12" s="1">
        <v>50</v>
      </c>
    </row>
    <row r="13" spans="1:15" x14ac:dyDescent="0.35">
      <c r="A13" s="7" t="s">
        <v>311</v>
      </c>
      <c r="B13" s="7">
        <v>0</v>
      </c>
      <c r="C13" s="7">
        <v>1</v>
      </c>
      <c r="D13" s="7">
        <v>1</v>
      </c>
      <c r="F13" s="56" t="s">
        <v>312</v>
      </c>
      <c r="G13" s="57"/>
      <c r="H13" s="8">
        <v>0</v>
      </c>
      <c r="I13" s="8">
        <v>0</v>
      </c>
      <c r="J13" s="8">
        <f t="shared" si="0"/>
        <v>0</v>
      </c>
      <c r="L13" s="14"/>
      <c r="M13" s="1"/>
      <c r="N13" s="1"/>
      <c r="O13" s="1"/>
    </row>
    <row r="14" spans="1:15" x14ac:dyDescent="0.35">
      <c r="A14" s="7" t="s">
        <v>313</v>
      </c>
      <c r="B14" s="7">
        <v>23</v>
      </c>
      <c r="C14" s="7">
        <v>24</v>
      </c>
      <c r="D14" s="7">
        <v>47</v>
      </c>
      <c r="F14" s="56" t="s">
        <v>314</v>
      </c>
      <c r="G14" s="57"/>
      <c r="H14" s="8">
        <v>0</v>
      </c>
      <c r="I14" s="8">
        <v>0</v>
      </c>
      <c r="J14" s="8">
        <f t="shared" si="0"/>
        <v>0</v>
      </c>
      <c r="L14" s="14"/>
      <c r="M14" s="1"/>
      <c r="N14" s="1"/>
      <c r="O14" s="1"/>
    </row>
    <row r="15" spans="1:15" x14ac:dyDescent="0.35">
      <c r="A15" s="7" t="s">
        <v>315</v>
      </c>
      <c r="B15" s="7">
        <v>2</v>
      </c>
      <c r="C15" s="7">
        <v>0</v>
      </c>
      <c r="D15" s="7">
        <v>2</v>
      </c>
      <c r="F15" s="56" t="s">
        <v>296</v>
      </c>
      <c r="G15" s="57"/>
      <c r="H15" s="8">
        <f>SUM(H8:H14)</f>
        <v>25</v>
      </c>
      <c r="I15" s="8">
        <f>SUM(I8:I14)</f>
        <v>25</v>
      </c>
      <c r="J15" s="8">
        <f t="shared" si="0"/>
        <v>50</v>
      </c>
      <c r="L15" s="14"/>
      <c r="M15" s="1"/>
      <c r="N15" s="1"/>
      <c r="O15" s="1"/>
    </row>
    <row r="16" spans="1:15" x14ac:dyDescent="0.35">
      <c r="A16" s="7" t="s">
        <v>316</v>
      </c>
      <c r="B16" s="7">
        <v>0</v>
      </c>
      <c r="C16" s="7">
        <v>0</v>
      </c>
      <c r="D16" s="7">
        <v>0</v>
      </c>
      <c r="L16" s="14"/>
      <c r="M16" s="1"/>
      <c r="N16" s="1"/>
      <c r="O16" s="1"/>
    </row>
    <row r="17" spans="1:15" x14ac:dyDescent="0.35">
      <c r="A17" s="7" t="s">
        <v>296</v>
      </c>
      <c r="B17" s="7">
        <v>25</v>
      </c>
      <c r="C17" s="7">
        <v>25</v>
      </c>
      <c r="D17" s="7">
        <v>50</v>
      </c>
      <c r="L17" s="14"/>
      <c r="M17" s="1"/>
      <c r="N17" s="1"/>
      <c r="O17" s="1"/>
    </row>
    <row r="18" spans="1:15" x14ac:dyDescent="0.35">
      <c r="L18" s="14"/>
      <c r="M18" s="1"/>
      <c r="N18" s="1"/>
      <c r="O18" s="1"/>
    </row>
    <row r="19" spans="1:15" x14ac:dyDescent="0.35">
      <c r="A19" s="5" t="s">
        <v>317</v>
      </c>
      <c r="L19" s="14"/>
      <c r="M19" s="1"/>
      <c r="N19" s="1"/>
      <c r="O19" s="1"/>
    </row>
    <row r="20" spans="1:15" x14ac:dyDescent="0.35">
      <c r="A20" s="6" t="s">
        <v>318</v>
      </c>
      <c r="B20" s="6" t="s">
        <v>183</v>
      </c>
      <c r="C20" s="6" t="s">
        <v>161</v>
      </c>
      <c r="D20" s="6" t="s">
        <v>296</v>
      </c>
      <c r="L20" s="14"/>
      <c r="M20" s="1"/>
      <c r="N20" s="1"/>
      <c r="O20" s="1"/>
    </row>
    <row r="21" spans="1:15" x14ac:dyDescent="0.35">
      <c r="A21" s="7" t="s">
        <v>319</v>
      </c>
      <c r="B21" s="7">
        <v>25</v>
      </c>
      <c r="C21" s="7">
        <v>25</v>
      </c>
      <c r="D21" s="7">
        <v>50</v>
      </c>
      <c r="L21" s="14"/>
      <c r="M21" s="1"/>
      <c r="N21" s="1"/>
      <c r="O21" s="1"/>
    </row>
    <row r="22" spans="1:15" x14ac:dyDescent="0.35">
      <c r="A22" s="7" t="s">
        <v>320</v>
      </c>
      <c r="B22" s="7">
        <v>0</v>
      </c>
      <c r="C22" s="7">
        <v>0</v>
      </c>
      <c r="D22" s="7">
        <v>0</v>
      </c>
      <c r="L22" s="14"/>
    </row>
    <row r="23" spans="1:15" x14ac:dyDescent="0.35">
      <c r="A23" s="7" t="s">
        <v>321</v>
      </c>
      <c r="B23" s="7">
        <v>0</v>
      </c>
      <c r="C23" s="7">
        <v>0</v>
      </c>
      <c r="D23" s="7">
        <v>0</v>
      </c>
      <c r="L23" s="14"/>
    </row>
    <row r="24" spans="1:15" x14ac:dyDescent="0.35">
      <c r="A24" s="7" t="s">
        <v>322</v>
      </c>
      <c r="B24" s="7">
        <v>0</v>
      </c>
      <c r="C24" s="7">
        <v>0</v>
      </c>
      <c r="D24" s="7">
        <v>0</v>
      </c>
    </row>
    <row r="25" spans="1:15" x14ac:dyDescent="0.35">
      <c r="A25" s="7" t="s">
        <v>323</v>
      </c>
      <c r="B25" s="7">
        <v>0</v>
      </c>
      <c r="C25" s="7">
        <v>0</v>
      </c>
      <c r="D25" s="7">
        <v>0</v>
      </c>
    </row>
    <row r="26" spans="1:15" x14ac:dyDescent="0.35">
      <c r="A26" s="7" t="s">
        <v>324</v>
      </c>
      <c r="B26" s="7">
        <v>0</v>
      </c>
      <c r="C26" s="7">
        <v>0</v>
      </c>
      <c r="D26" s="7">
        <v>0</v>
      </c>
    </row>
    <row r="27" spans="1:15" x14ac:dyDescent="0.35">
      <c r="A27" s="7" t="s">
        <v>325</v>
      </c>
      <c r="B27" s="7">
        <v>0</v>
      </c>
      <c r="C27" s="7">
        <v>0</v>
      </c>
      <c r="D27" s="7">
        <v>0</v>
      </c>
    </row>
    <row r="28" spans="1:15" x14ac:dyDescent="0.35">
      <c r="A28" s="7" t="s">
        <v>326</v>
      </c>
      <c r="B28" s="7">
        <v>0</v>
      </c>
      <c r="C28" s="7">
        <v>0</v>
      </c>
      <c r="D28" s="7">
        <v>0</v>
      </c>
    </row>
    <row r="29" spans="1:15" x14ac:dyDescent="0.35">
      <c r="A29" s="7" t="s">
        <v>296</v>
      </c>
      <c r="B29" s="7">
        <v>25</v>
      </c>
      <c r="C29" s="7">
        <v>25</v>
      </c>
      <c r="D29" s="7">
        <v>50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F12:G12"/>
    <mergeCell ref="F13:G13"/>
    <mergeCell ref="F14:G14"/>
    <mergeCell ref="F15:G15"/>
    <mergeCell ref="F7:G7"/>
    <mergeCell ref="F8:G8"/>
    <mergeCell ref="F9:G9"/>
    <mergeCell ref="F10:G10"/>
    <mergeCell ref="F11:G11"/>
  </mergeCells>
  <pageMargins left="0.69930555555555995" right="0.69930555555555995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4.5" x14ac:dyDescent="0.35"/>
  <cols>
    <col min="1" max="1" width="5.6328125" customWidth="1"/>
    <col min="2" max="2" width="29" customWidth="1"/>
    <col min="3" max="3" width="11.81640625" style="1" customWidth="1"/>
    <col min="7" max="7" width="28.453125" customWidth="1"/>
    <col min="8" max="8" width="34.6328125" customWidth="1"/>
    <col min="9" max="9" width="14.81640625" customWidth="1"/>
  </cols>
  <sheetData>
    <row r="1" spans="1:9" ht="21" customHeight="1" x14ac:dyDescent="0.5">
      <c r="A1" s="2" t="s">
        <v>327</v>
      </c>
    </row>
    <row r="2" spans="1:9" ht="19" customHeight="1" x14ac:dyDescent="0.45">
      <c r="A2" s="3" t="s">
        <v>4</v>
      </c>
    </row>
    <row r="3" spans="1:9" x14ac:dyDescent="0.35">
      <c r="A3" t="s">
        <v>131</v>
      </c>
    </row>
    <row r="4" spans="1:9" x14ac:dyDescent="0.35">
      <c r="A4" t="s">
        <v>132</v>
      </c>
      <c r="D4" t="s">
        <v>133</v>
      </c>
    </row>
    <row r="6" spans="1:9" x14ac:dyDescent="0.35">
      <c r="A6" s="55" t="s">
        <v>134</v>
      </c>
      <c r="B6" s="55" t="s">
        <v>328</v>
      </c>
      <c r="C6" s="60" t="s">
        <v>329</v>
      </c>
      <c r="D6" s="55" t="s">
        <v>330</v>
      </c>
      <c r="E6" s="55"/>
      <c r="F6" s="55"/>
      <c r="G6" s="55" t="s">
        <v>331</v>
      </c>
      <c r="H6" s="55" t="s">
        <v>332</v>
      </c>
      <c r="I6" s="55" t="s">
        <v>333</v>
      </c>
    </row>
    <row r="7" spans="1:9" x14ac:dyDescent="0.35">
      <c r="A7" s="55"/>
      <c r="B7" s="55"/>
      <c r="C7" s="60"/>
      <c r="D7" s="4" t="s">
        <v>183</v>
      </c>
      <c r="E7" s="4" t="s">
        <v>161</v>
      </c>
      <c r="F7" s="4" t="s">
        <v>296</v>
      </c>
      <c r="G7" s="55"/>
      <c r="H7" s="55"/>
      <c r="I7" s="55"/>
    </row>
    <row r="8" spans="1:9" x14ac:dyDescent="0.35">
      <c r="A8">
        <v>1</v>
      </c>
      <c r="B8" t="s">
        <v>334</v>
      </c>
      <c r="C8" s="1">
        <v>7</v>
      </c>
      <c r="D8">
        <v>0</v>
      </c>
      <c r="E8">
        <v>1</v>
      </c>
      <c r="F8">
        <v>1</v>
      </c>
      <c r="G8" t="s">
        <v>249</v>
      </c>
      <c r="H8" t="s">
        <v>335</v>
      </c>
      <c r="I8" t="s">
        <v>334</v>
      </c>
    </row>
    <row r="9" spans="1:9" x14ac:dyDescent="0.35">
      <c r="A9">
        <v>2</v>
      </c>
      <c r="B9" t="s">
        <v>336</v>
      </c>
      <c r="C9" s="1">
        <v>8</v>
      </c>
      <c r="D9">
        <v>12</v>
      </c>
      <c r="E9">
        <v>9</v>
      </c>
      <c r="F9">
        <v>21</v>
      </c>
      <c r="G9" t="s">
        <v>259</v>
      </c>
      <c r="H9" t="s">
        <v>335</v>
      </c>
      <c r="I9" t="s">
        <v>336</v>
      </c>
    </row>
    <row r="10" spans="1:9" x14ac:dyDescent="0.35">
      <c r="A10">
        <v>3</v>
      </c>
      <c r="B10" t="s">
        <v>337</v>
      </c>
      <c r="C10" s="1">
        <v>9</v>
      </c>
      <c r="D10">
        <v>12</v>
      </c>
      <c r="E10">
        <v>15</v>
      </c>
      <c r="F10">
        <v>27</v>
      </c>
      <c r="G10" t="s">
        <v>173</v>
      </c>
      <c r="H10" t="s">
        <v>335</v>
      </c>
      <c r="I10" t="s">
        <v>337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H6:H7"/>
    <mergeCell ref="I6:I7"/>
    <mergeCell ref="D6:F6"/>
    <mergeCell ref="A6:A7"/>
    <mergeCell ref="B6:B7"/>
    <mergeCell ref="C6:C7"/>
    <mergeCell ref="G6:G7"/>
  </mergeCells>
  <pageMargins left="0.69930555555555995" right="0.69930555555555995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="134" workbookViewId="0">
      <pane ySplit="7" topLeftCell="A8" activePane="bottomLeft" state="frozen"/>
      <selection pane="bottomLeft" activeCell="A8" sqref="A8"/>
    </sheetView>
  </sheetViews>
  <sheetFormatPr defaultColWidth="8.81640625" defaultRowHeight="14.5" x14ac:dyDescent="0.35"/>
  <cols>
    <col min="1" max="1" width="5.453125" customWidth="1"/>
    <col min="2" max="2" width="25.36328125" customWidth="1"/>
    <col min="3" max="3" width="44.453125" customWidth="1"/>
    <col min="4" max="5" width="9.1796875" style="1" customWidth="1"/>
    <col min="6" max="6" width="17.36328125" style="1" customWidth="1"/>
  </cols>
  <sheetData>
    <row r="1" spans="1:6" ht="21" customHeight="1" x14ac:dyDescent="0.5">
      <c r="A1" s="2" t="s">
        <v>338</v>
      </c>
    </row>
    <row r="2" spans="1:6" ht="19" customHeight="1" x14ac:dyDescent="0.45">
      <c r="A2" s="3" t="s">
        <v>4</v>
      </c>
    </row>
    <row r="3" spans="1:6" x14ac:dyDescent="0.35">
      <c r="A3" t="s">
        <v>131</v>
      </c>
    </row>
    <row r="4" spans="1:6" x14ac:dyDescent="0.35">
      <c r="A4" t="s">
        <v>132</v>
      </c>
      <c r="D4" s="1" t="s">
        <v>133</v>
      </c>
    </row>
    <row r="6" spans="1:6" ht="30" customHeight="1" x14ac:dyDescent="0.35">
      <c r="A6" s="55" t="s">
        <v>134</v>
      </c>
      <c r="B6" s="55" t="s">
        <v>339</v>
      </c>
      <c r="C6" s="55" t="s">
        <v>340</v>
      </c>
      <c r="D6" s="60" t="s">
        <v>341</v>
      </c>
      <c r="E6" s="60" t="s">
        <v>342</v>
      </c>
      <c r="F6" s="60" t="s">
        <v>343</v>
      </c>
    </row>
    <row r="7" spans="1:6" x14ac:dyDescent="0.35">
      <c r="A7" s="55"/>
      <c r="B7" s="55"/>
      <c r="C7" s="55"/>
      <c r="D7" s="60"/>
      <c r="E7" s="60"/>
      <c r="F7" s="55"/>
    </row>
    <row r="8" spans="1:6" x14ac:dyDescent="0.35">
      <c r="A8">
        <v>1</v>
      </c>
      <c r="B8" t="s">
        <v>344</v>
      </c>
      <c r="D8" s="1">
        <v>2</v>
      </c>
      <c r="E8" s="1">
        <v>2</v>
      </c>
    </row>
    <row r="9" spans="1:6" x14ac:dyDescent="0.35">
      <c r="A9">
        <v>2</v>
      </c>
      <c r="B9" t="s">
        <v>334</v>
      </c>
      <c r="D9" s="1">
        <v>9</v>
      </c>
      <c r="E9" s="1">
        <v>8</v>
      </c>
    </row>
    <row r="10" spans="1:6" x14ac:dyDescent="0.35">
      <c r="A10">
        <v>3</v>
      </c>
      <c r="B10" t="s">
        <v>336</v>
      </c>
      <c r="D10" s="1">
        <v>9</v>
      </c>
      <c r="E10" s="1">
        <v>8</v>
      </c>
    </row>
    <row r="11" spans="1:6" x14ac:dyDescent="0.35">
      <c r="A11">
        <v>4</v>
      </c>
      <c r="B11" t="s">
        <v>337</v>
      </c>
      <c r="D11" s="1">
        <v>8</v>
      </c>
      <c r="E11" s="1">
        <v>9</v>
      </c>
    </row>
    <row r="12" spans="1:6" x14ac:dyDescent="0.35">
      <c r="A12">
        <v>5</v>
      </c>
      <c r="B12" t="s">
        <v>345</v>
      </c>
      <c r="D12" s="1">
        <v>5</v>
      </c>
      <c r="E12" s="1">
        <v>6</v>
      </c>
    </row>
    <row r="13" spans="1:6" x14ac:dyDescent="0.35">
      <c r="A13">
        <v>6</v>
      </c>
      <c r="B13" t="s">
        <v>346</v>
      </c>
      <c r="D13" s="1">
        <v>6</v>
      </c>
      <c r="E13" s="1">
        <v>7</v>
      </c>
    </row>
    <row r="14" spans="1:6" x14ac:dyDescent="0.35">
      <c r="A14">
        <v>7</v>
      </c>
      <c r="B14" t="s">
        <v>347</v>
      </c>
      <c r="D14" s="1">
        <v>9</v>
      </c>
      <c r="E14" s="1">
        <v>7</v>
      </c>
    </row>
    <row r="15" spans="1:6" x14ac:dyDescent="0.35">
      <c r="A15">
        <v>8</v>
      </c>
      <c r="B15" t="s">
        <v>348</v>
      </c>
      <c r="D15" s="1">
        <v>8</v>
      </c>
      <c r="E15" s="1">
        <v>3.5</v>
      </c>
    </row>
    <row r="16" spans="1:6" x14ac:dyDescent="0.35">
      <c r="A16">
        <v>9</v>
      </c>
      <c r="B16" t="s">
        <v>349</v>
      </c>
      <c r="D16" s="1">
        <v>1</v>
      </c>
      <c r="E16" s="1">
        <v>2</v>
      </c>
    </row>
    <row r="17" spans="1:5" x14ac:dyDescent="0.35">
      <c r="A17">
        <v>10</v>
      </c>
      <c r="B17" t="s">
        <v>350</v>
      </c>
      <c r="D17" s="1">
        <v>1</v>
      </c>
      <c r="E17" s="1">
        <v>2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F6:F7"/>
    <mergeCell ref="D6:D7"/>
    <mergeCell ref="B6:B7"/>
    <mergeCell ref="A6:A7"/>
    <mergeCell ref="C6:C7"/>
    <mergeCell ref="E6:E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6"/>
  <sheetViews>
    <sheetView workbookViewId="0">
      <pane ySplit="6" topLeftCell="A7" activePane="bottomLeft" state="frozen"/>
      <selection pane="bottomLeft" activeCell="A7" sqref="A7"/>
    </sheetView>
  </sheetViews>
  <sheetFormatPr defaultColWidth="8.81640625" defaultRowHeight="14.5" x14ac:dyDescent="0.35"/>
  <cols>
    <col min="1" max="1" width="6.6328125" customWidth="1"/>
    <col min="2" max="2" width="25" customWidth="1"/>
    <col min="3" max="3" width="33.1796875" customWidth="1"/>
    <col min="4" max="4" width="14.6328125" style="1" customWidth="1"/>
    <col min="5" max="5" width="31.36328125" customWidth="1"/>
    <col min="6" max="8" width="17.36328125" style="1" customWidth="1"/>
  </cols>
  <sheetData>
    <row r="1" spans="1:8" ht="21" customHeight="1" x14ac:dyDescent="0.5">
      <c r="A1" s="2" t="s">
        <v>351</v>
      </c>
    </row>
    <row r="2" spans="1:8" ht="19" customHeight="1" x14ac:dyDescent="0.45">
      <c r="A2" s="3" t="s">
        <v>4</v>
      </c>
    </row>
    <row r="3" spans="1:8" x14ac:dyDescent="0.35">
      <c r="A3" t="s">
        <v>131</v>
      </c>
    </row>
    <row r="4" spans="1:8" x14ac:dyDescent="0.35">
      <c r="A4" t="s">
        <v>132</v>
      </c>
      <c r="D4" s="1" t="s">
        <v>133</v>
      </c>
    </row>
    <row r="6" spans="1:8" x14ac:dyDescent="0.35">
      <c r="A6" s="6" t="s">
        <v>134</v>
      </c>
      <c r="B6" s="6" t="s">
        <v>352</v>
      </c>
      <c r="C6" s="6" t="s">
        <v>353</v>
      </c>
      <c r="D6" s="6" t="s">
        <v>354</v>
      </c>
      <c r="E6" s="6" t="s">
        <v>355</v>
      </c>
      <c r="F6" s="6" t="s">
        <v>356</v>
      </c>
      <c r="G6" s="6" t="s">
        <v>357</v>
      </c>
      <c r="H6" s="6" t="s">
        <v>358</v>
      </c>
    </row>
    <row r="7" spans="1:8" x14ac:dyDescent="0.35">
      <c r="A7">
        <v>1</v>
      </c>
      <c r="B7" t="s">
        <v>359</v>
      </c>
      <c r="C7" t="s">
        <v>334</v>
      </c>
      <c r="D7" s="1" t="s">
        <v>360</v>
      </c>
      <c r="F7" s="1">
        <v>25</v>
      </c>
      <c r="G7" s="1">
        <v>25</v>
      </c>
      <c r="H7" s="1">
        <v>0</v>
      </c>
    </row>
    <row r="8" spans="1:8" x14ac:dyDescent="0.35">
      <c r="A8">
        <v>2</v>
      </c>
      <c r="B8" t="s">
        <v>361</v>
      </c>
      <c r="C8" t="s">
        <v>334</v>
      </c>
      <c r="D8" s="1" t="s">
        <v>360</v>
      </c>
      <c r="F8" s="1">
        <v>25</v>
      </c>
      <c r="G8" s="1">
        <v>20</v>
      </c>
      <c r="H8" s="1">
        <v>5</v>
      </c>
    </row>
    <row r="9" spans="1:8" x14ac:dyDescent="0.35">
      <c r="A9">
        <v>3</v>
      </c>
      <c r="B9" t="s">
        <v>362</v>
      </c>
      <c r="C9" t="s">
        <v>334</v>
      </c>
      <c r="D9" s="1" t="s">
        <v>360</v>
      </c>
      <c r="F9" s="1">
        <v>1</v>
      </c>
      <c r="G9" s="1">
        <v>1</v>
      </c>
      <c r="H9" s="1">
        <v>0</v>
      </c>
    </row>
    <row r="10" spans="1:8" x14ac:dyDescent="0.35">
      <c r="A10">
        <v>4</v>
      </c>
      <c r="B10" t="s">
        <v>363</v>
      </c>
      <c r="C10" t="s">
        <v>334</v>
      </c>
      <c r="D10" s="1" t="s">
        <v>360</v>
      </c>
      <c r="F10" s="1">
        <v>1</v>
      </c>
      <c r="G10" s="1">
        <v>1</v>
      </c>
      <c r="H10" s="1">
        <v>0</v>
      </c>
    </row>
    <row r="11" spans="1:8" x14ac:dyDescent="0.35">
      <c r="A11">
        <v>5</v>
      </c>
      <c r="B11" t="s">
        <v>364</v>
      </c>
      <c r="C11" t="s">
        <v>334</v>
      </c>
      <c r="D11" s="1" t="s">
        <v>360</v>
      </c>
      <c r="F11" s="1">
        <v>1</v>
      </c>
      <c r="G11" s="1">
        <v>1</v>
      </c>
      <c r="H11" s="1">
        <v>0</v>
      </c>
    </row>
    <row r="12" spans="1:8" x14ac:dyDescent="0.35">
      <c r="A12">
        <v>6</v>
      </c>
      <c r="B12" t="s">
        <v>365</v>
      </c>
      <c r="C12" t="s">
        <v>334</v>
      </c>
      <c r="D12" s="1" t="s">
        <v>360</v>
      </c>
      <c r="F12" s="1">
        <v>1</v>
      </c>
      <c r="G12" s="1">
        <v>1</v>
      </c>
      <c r="H12" s="1">
        <v>0</v>
      </c>
    </row>
    <row r="13" spans="1:8" x14ac:dyDescent="0.35">
      <c r="A13">
        <v>7</v>
      </c>
      <c r="B13" t="s">
        <v>366</v>
      </c>
      <c r="C13" t="s">
        <v>334</v>
      </c>
      <c r="D13" s="1" t="s">
        <v>360</v>
      </c>
      <c r="F13" s="1">
        <v>1</v>
      </c>
      <c r="G13" s="1">
        <v>1</v>
      </c>
      <c r="H13" s="1">
        <v>0</v>
      </c>
    </row>
    <row r="14" spans="1:8" x14ac:dyDescent="0.35">
      <c r="A14">
        <v>8</v>
      </c>
      <c r="B14" t="s">
        <v>367</v>
      </c>
      <c r="C14" t="s">
        <v>334</v>
      </c>
      <c r="D14" s="1" t="s">
        <v>360</v>
      </c>
      <c r="F14" s="1">
        <v>1</v>
      </c>
      <c r="G14" s="1">
        <v>1</v>
      </c>
      <c r="H14" s="1">
        <v>0</v>
      </c>
    </row>
    <row r="15" spans="1:8" x14ac:dyDescent="0.35">
      <c r="A15">
        <v>9</v>
      </c>
      <c r="B15" t="s">
        <v>365</v>
      </c>
      <c r="C15" t="s">
        <v>346</v>
      </c>
      <c r="D15" s="1" t="s">
        <v>360</v>
      </c>
      <c r="F15" s="1">
        <v>1</v>
      </c>
      <c r="G15" s="1">
        <v>1</v>
      </c>
      <c r="H15" s="1">
        <v>0</v>
      </c>
    </row>
    <row r="16" spans="1:8" x14ac:dyDescent="0.35">
      <c r="A16">
        <v>10</v>
      </c>
      <c r="B16" t="s">
        <v>368</v>
      </c>
      <c r="C16" t="s">
        <v>346</v>
      </c>
      <c r="D16" s="1" t="s">
        <v>360</v>
      </c>
      <c r="F16" s="1">
        <v>1</v>
      </c>
      <c r="G16" s="1">
        <v>1</v>
      </c>
      <c r="H16" s="1">
        <v>0</v>
      </c>
    </row>
    <row r="17" spans="1:8" x14ac:dyDescent="0.35">
      <c r="A17">
        <v>11</v>
      </c>
      <c r="B17" t="s">
        <v>369</v>
      </c>
      <c r="C17" t="s">
        <v>346</v>
      </c>
      <c r="D17" s="1" t="s">
        <v>370</v>
      </c>
      <c r="F17" s="1">
        <v>1</v>
      </c>
      <c r="G17" s="1">
        <v>1</v>
      </c>
      <c r="H17" s="1">
        <v>0</v>
      </c>
    </row>
    <row r="18" spans="1:8" x14ac:dyDescent="0.35">
      <c r="A18">
        <v>12</v>
      </c>
      <c r="B18" t="s">
        <v>359</v>
      </c>
      <c r="C18" t="s">
        <v>336</v>
      </c>
      <c r="D18" s="1" t="s">
        <v>360</v>
      </c>
      <c r="F18" s="1">
        <v>25</v>
      </c>
      <c r="G18" s="1">
        <v>25</v>
      </c>
      <c r="H18" s="1">
        <v>0</v>
      </c>
    </row>
    <row r="19" spans="1:8" x14ac:dyDescent="0.35">
      <c r="A19">
        <v>13</v>
      </c>
      <c r="B19" t="s">
        <v>361</v>
      </c>
      <c r="C19" t="s">
        <v>336</v>
      </c>
      <c r="D19" s="1" t="s">
        <v>360</v>
      </c>
      <c r="F19" s="1">
        <v>25</v>
      </c>
      <c r="G19" s="1">
        <v>25</v>
      </c>
      <c r="H19" s="1">
        <v>0</v>
      </c>
    </row>
    <row r="20" spans="1:8" x14ac:dyDescent="0.35">
      <c r="A20">
        <v>14</v>
      </c>
      <c r="B20" t="s">
        <v>362</v>
      </c>
      <c r="C20" t="s">
        <v>336</v>
      </c>
      <c r="D20" s="1" t="s">
        <v>360</v>
      </c>
      <c r="F20" s="1">
        <v>1</v>
      </c>
      <c r="G20" s="1">
        <v>1</v>
      </c>
      <c r="H20" s="1">
        <v>0</v>
      </c>
    </row>
    <row r="21" spans="1:8" x14ac:dyDescent="0.35">
      <c r="A21">
        <v>15</v>
      </c>
      <c r="B21" t="s">
        <v>363</v>
      </c>
      <c r="C21" t="s">
        <v>336</v>
      </c>
      <c r="D21" s="1" t="s">
        <v>360</v>
      </c>
      <c r="F21" s="1">
        <v>1</v>
      </c>
      <c r="G21" s="1">
        <v>1</v>
      </c>
      <c r="H21" s="1">
        <v>0</v>
      </c>
    </row>
    <row r="22" spans="1:8" x14ac:dyDescent="0.35">
      <c r="A22">
        <v>16</v>
      </c>
      <c r="B22" t="s">
        <v>364</v>
      </c>
      <c r="C22" t="s">
        <v>336</v>
      </c>
      <c r="D22" s="1" t="s">
        <v>360</v>
      </c>
      <c r="F22" s="1">
        <v>1</v>
      </c>
      <c r="G22" s="1">
        <v>1</v>
      </c>
      <c r="H22" s="1">
        <v>0</v>
      </c>
    </row>
    <row r="23" spans="1:8" x14ac:dyDescent="0.35">
      <c r="A23">
        <v>17</v>
      </c>
      <c r="B23" t="s">
        <v>371</v>
      </c>
      <c r="C23" t="s">
        <v>336</v>
      </c>
      <c r="D23" s="1" t="s">
        <v>360</v>
      </c>
      <c r="F23" s="1">
        <v>1</v>
      </c>
      <c r="G23" s="1">
        <v>1</v>
      </c>
      <c r="H23" s="1">
        <v>0</v>
      </c>
    </row>
    <row r="24" spans="1:8" x14ac:dyDescent="0.35">
      <c r="A24">
        <v>18</v>
      </c>
      <c r="B24" t="s">
        <v>365</v>
      </c>
      <c r="C24" t="s">
        <v>336</v>
      </c>
      <c r="D24" s="1" t="s">
        <v>360</v>
      </c>
      <c r="F24" s="1">
        <v>1</v>
      </c>
      <c r="G24" s="1">
        <v>1</v>
      </c>
      <c r="H24" s="1">
        <v>0</v>
      </c>
    </row>
    <row r="25" spans="1:8" x14ac:dyDescent="0.35">
      <c r="A25">
        <v>19</v>
      </c>
      <c r="B25" t="s">
        <v>366</v>
      </c>
      <c r="C25" t="s">
        <v>336</v>
      </c>
      <c r="D25" s="1" t="s">
        <v>360</v>
      </c>
      <c r="F25" s="1">
        <v>1</v>
      </c>
      <c r="G25" s="1">
        <v>1</v>
      </c>
      <c r="H25" s="1">
        <v>0</v>
      </c>
    </row>
    <row r="26" spans="1:8" x14ac:dyDescent="0.35">
      <c r="A26">
        <v>20</v>
      </c>
      <c r="B26" t="s">
        <v>367</v>
      </c>
      <c r="C26" t="s">
        <v>336</v>
      </c>
      <c r="D26" s="1" t="s">
        <v>360</v>
      </c>
      <c r="F26" s="1">
        <v>1</v>
      </c>
      <c r="G26" s="1">
        <v>1</v>
      </c>
      <c r="H26" s="1">
        <v>0</v>
      </c>
    </row>
    <row r="27" spans="1:8" x14ac:dyDescent="0.35">
      <c r="A27">
        <v>21</v>
      </c>
      <c r="B27" t="s">
        <v>372</v>
      </c>
      <c r="C27" t="s">
        <v>345</v>
      </c>
      <c r="D27" s="1" t="s">
        <v>360</v>
      </c>
      <c r="E27" t="s">
        <v>373</v>
      </c>
      <c r="F27" s="1">
        <v>1</v>
      </c>
      <c r="G27" s="1">
        <v>1</v>
      </c>
      <c r="H27" s="1">
        <v>0</v>
      </c>
    </row>
    <row r="28" spans="1:8" x14ac:dyDescent="0.35">
      <c r="A28">
        <v>22</v>
      </c>
      <c r="B28" t="s">
        <v>374</v>
      </c>
      <c r="C28" t="s">
        <v>345</v>
      </c>
      <c r="D28" s="1" t="s">
        <v>360</v>
      </c>
      <c r="F28" s="1">
        <v>1</v>
      </c>
      <c r="G28" s="1">
        <v>1</v>
      </c>
      <c r="H28" s="1">
        <v>0</v>
      </c>
    </row>
    <row r="29" spans="1:8" x14ac:dyDescent="0.35">
      <c r="A29">
        <v>23</v>
      </c>
      <c r="B29" t="s">
        <v>359</v>
      </c>
      <c r="C29" t="s">
        <v>337</v>
      </c>
      <c r="D29" s="1" t="s">
        <v>360</v>
      </c>
      <c r="F29" s="1">
        <v>25</v>
      </c>
      <c r="G29" s="1">
        <v>25</v>
      </c>
      <c r="H29" s="1">
        <v>0</v>
      </c>
    </row>
    <row r="30" spans="1:8" x14ac:dyDescent="0.35">
      <c r="A30">
        <v>24</v>
      </c>
      <c r="B30" t="s">
        <v>361</v>
      </c>
      <c r="C30" t="s">
        <v>337</v>
      </c>
      <c r="D30" s="1" t="s">
        <v>360</v>
      </c>
      <c r="F30" s="1">
        <v>25</v>
      </c>
      <c r="G30" s="1">
        <v>25</v>
      </c>
      <c r="H30" s="1">
        <v>0</v>
      </c>
    </row>
    <row r="31" spans="1:8" x14ac:dyDescent="0.35">
      <c r="A31">
        <v>25</v>
      </c>
      <c r="B31" t="s">
        <v>362</v>
      </c>
      <c r="C31" t="s">
        <v>337</v>
      </c>
      <c r="D31" s="1" t="s">
        <v>360</v>
      </c>
      <c r="F31" s="1">
        <v>1</v>
      </c>
      <c r="G31" s="1">
        <v>1</v>
      </c>
      <c r="H31" s="1">
        <v>0</v>
      </c>
    </row>
    <row r="32" spans="1:8" x14ac:dyDescent="0.35">
      <c r="A32">
        <v>26</v>
      </c>
      <c r="B32" t="s">
        <v>363</v>
      </c>
      <c r="C32" t="s">
        <v>337</v>
      </c>
      <c r="D32" s="1" t="s">
        <v>360</v>
      </c>
      <c r="F32" s="1">
        <v>1</v>
      </c>
      <c r="G32" s="1">
        <v>1</v>
      </c>
      <c r="H32" s="1">
        <v>0</v>
      </c>
    </row>
    <row r="33" spans="1:8" x14ac:dyDescent="0.35">
      <c r="A33">
        <v>27</v>
      </c>
      <c r="B33" t="s">
        <v>364</v>
      </c>
      <c r="C33" t="s">
        <v>337</v>
      </c>
      <c r="D33" s="1" t="s">
        <v>360</v>
      </c>
      <c r="F33" s="1">
        <v>1</v>
      </c>
      <c r="G33" s="1">
        <v>1</v>
      </c>
      <c r="H33" s="1">
        <v>0</v>
      </c>
    </row>
    <row r="34" spans="1:8" x14ac:dyDescent="0.35">
      <c r="A34">
        <v>28</v>
      </c>
      <c r="B34" t="s">
        <v>365</v>
      </c>
      <c r="C34" t="s">
        <v>337</v>
      </c>
      <c r="D34" s="1" t="s">
        <v>360</v>
      </c>
      <c r="F34" s="1">
        <v>1</v>
      </c>
      <c r="G34" s="1">
        <v>1</v>
      </c>
      <c r="H34" s="1">
        <v>0</v>
      </c>
    </row>
    <row r="35" spans="1:8" x14ac:dyDescent="0.35">
      <c r="A35">
        <v>29</v>
      </c>
      <c r="B35" t="s">
        <v>366</v>
      </c>
      <c r="C35" t="s">
        <v>337</v>
      </c>
      <c r="D35" s="1" t="s">
        <v>360</v>
      </c>
      <c r="F35" s="1">
        <v>1</v>
      </c>
      <c r="G35" s="1">
        <v>1</v>
      </c>
      <c r="H35" s="1">
        <v>0</v>
      </c>
    </row>
    <row r="36" spans="1:8" x14ac:dyDescent="0.35">
      <c r="A36">
        <v>30</v>
      </c>
      <c r="B36" t="s">
        <v>367</v>
      </c>
      <c r="C36" t="s">
        <v>337</v>
      </c>
      <c r="D36" s="1" t="s">
        <v>360</v>
      </c>
      <c r="F36" s="1">
        <v>1</v>
      </c>
      <c r="G36" s="1">
        <v>1</v>
      </c>
      <c r="H36" s="1">
        <v>0</v>
      </c>
    </row>
    <row r="37" spans="1:8" x14ac:dyDescent="0.35">
      <c r="A37">
        <v>31</v>
      </c>
      <c r="B37" t="s">
        <v>371</v>
      </c>
      <c r="C37" t="s">
        <v>344</v>
      </c>
      <c r="D37" s="1" t="s">
        <v>360</v>
      </c>
      <c r="F37" s="1">
        <v>1</v>
      </c>
      <c r="G37" s="1">
        <v>1</v>
      </c>
      <c r="H37" s="1">
        <v>0</v>
      </c>
    </row>
    <row r="38" spans="1:8" x14ac:dyDescent="0.35">
      <c r="A38">
        <v>32</v>
      </c>
      <c r="B38" t="s">
        <v>375</v>
      </c>
      <c r="C38" t="s">
        <v>344</v>
      </c>
      <c r="D38" s="1" t="s">
        <v>360</v>
      </c>
      <c r="F38" s="1">
        <v>1</v>
      </c>
      <c r="G38" s="1">
        <v>1</v>
      </c>
      <c r="H38" s="1">
        <v>0</v>
      </c>
    </row>
    <row r="39" spans="1:8" x14ac:dyDescent="0.35">
      <c r="A39">
        <v>33</v>
      </c>
      <c r="B39" t="s">
        <v>376</v>
      </c>
      <c r="C39" t="s">
        <v>344</v>
      </c>
      <c r="D39" s="1" t="s">
        <v>360</v>
      </c>
      <c r="F39" s="1">
        <v>1</v>
      </c>
      <c r="G39" s="1">
        <v>1</v>
      </c>
      <c r="H39" s="1">
        <v>0</v>
      </c>
    </row>
    <row r="40" spans="1:8" x14ac:dyDescent="0.35">
      <c r="A40">
        <v>34</v>
      </c>
      <c r="B40" t="s">
        <v>377</v>
      </c>
      <c r="C40" t="s">
        <v>344</v>
      </c>
      <c r="D40" s="1" t="s">
        <v>360</v>
      </c>
      <c r="F40" s="1">
        <v>1</v>
      </c>
      <c r="G40" s="1">
        <v>1</v>
      </c>
      <c r="H40" s="1">
        <v>0</v>
      </c>
    </row>
    <row r="41" spans="1:8" x14ac:dyDescent="0.35">
      <c r="A41">
        <v>35</v>
      </c>
      <c r="B41" t="s">
        <v>378</v>
      </c>
      <c r="C41" t="s">
        <v>348</v>
      </c>
      <c r="D41" s="1" t="s">
        <v>360</v>
      </c>
      <c r="F41" s="1">
        <v>1</v>
      </c>
      <c r="G41" s="1">
        <v>1</v>
      </c>
      <c r="H41" s="1">
        <v>0</v>
      </c>
    </row>
    <row r="42" spans="1:8" x14ac:dyDescent="0.35">
      <c r="A42">
        <v>36</v>
      </c>
      <c r="B42" t="s">
        <v>371</v>
      </c>
      <c r="C42" t="s">
        <v>348</v>
      </c>
      <c r="D42" s="1" t="s">
        <v>360</v>
      </c>
      <c r="F42" s="1">
        <v>1</v>
      </c>
      <c r="G42" s="1">
        <v>1</v>
      </c>
      <c r="H42" s="1">
        <v>0</v>
      </c>
    </row>
    <row r="43" spans="1:8" x14ac:dyDescent="0.35">
      <c r="A43">
        <v>37</v>
      </c>
      <c r="B43" t="s">
        <v>365</v>
      </c>
      <c r="C43" t="s">
        <v>348</v>
      </c>
      <c r="D43" s="1" t="s">
        <v>360</v>
      </c>
      <c r="F43" s="1">
        <v>1</v>
      </c>
      <c r="G43" s="1">
        <v>1</v>
      </c>
      <c r="H43" s="1">
        <v>0</v>
      </c>
    </row>
    <row r="44" spans="1:8" x14ac:dyDescent="0.35">
      <c r="A44">
        <v>38</v>
      </c>
      <c r="B44" t="s">
        <v>379</v>
      </c>
      <c r="C44" t="s">
        <v>348</v>
      </c>
      <c r="D44" s="1" t="s">
        <v>360</v>
      </c>
      <c r="F44" s="1">
        <v>1</v>
      </c>
      <c r="G44" s="1">
        <v>1</v>
      </c>
      <c r="H44" s="1">
        <v>0</v>
      </c>
    </row>
    <row r="45" spans="1:8" x14ac:dyDescent="0.35">
      <c r="A45">
        <v>39</v>
      </c>
      <c r="B45" t="s">
        <v>380</v>
      </c>
      <c r="C45" t="s">
        <v>348</v>
      </c>
      <c r="D45" s="1" t="s">
        <v>360</v>
      </c>
      <c r="F45" s="1">
        <v>1</v>
      </c>
      <c r="G45" s="1">
        <v>1</v>
      </c>
      <c r="H45" s="1">
        <v>0</v>
      </c>
    </row>
    <row r="46" spans="1:8" x14ac:dyDescent="0.35">
      <c r="A46">
        <v>40</v>
      </c>
      <c r="B46" t="s">
        <v>381</v>
      </c>
      <c r="C46" t="s">
        <v>348</v>
      </c>
      <c r="D46" s="1" t="s">
        <v>360</v>
      </c>
      <c r="F46" s="1">
        <v>1</v>
      </c>
      <c r="G46" s="1">
        <v>1</v>
      </c>
      <c r="H46" s="1">
        <v>0</v>
      </c>
    </row>
    <row r="47" spans="1:8" x14ac:dyDescent="0.35">
      <c r="A47">
        <v>41</v>
      </c>
      <c r="B47" t="s">
        <v>382</v>
      </c>
      <c r="C47" t="s">
        <v>348</v>
      </c>
      <c r="D47" s="1" t="s">
        <v>360</v>
      </c>
      <c r="F47" s="1">
        <v>1</v>
      </c>
      <c r="G47" s="1">
        <v>1</v>
      </c>
      <c r="H47" s="1">
        <v>0</v>
      </c>
    </row>
    <row r="48" spans="1:8" x14ac:dyDescent="0.35">
      <c r="A48">
        <v>42</v>
      </c>
      <c r="B48" t="s">
        <v>383</v>
      </c>
      <c r="C48" t="s">
        <v>348</v>
      </c>
      <c r="D48" s="1" t="s">
        <v>360</v>
      </c>
      <c r="F48" s="1">
        <v>1</v>
      </c>
      <c r="G48" s="1">
        <v>1</v>
      </c>
      <c r="H48" s="1">
        <v>0</v>
      </c>
    </row>
    <row r="49" spans="1:8" x14ac:dyDescent="0.35">
      <c r="A49">
        <v>43</v>
      </c>
      <c r="B49" t="s">
        <v>371</v>
      </c>
      <c r="C49" t="s">
        <v>349</v>
      </c>
      <c r="D49" s="1" t="s">
        <v>360</v>
      </c>
      <c r="F49" s="1">
        <v>1</v>
      </c>
      <c r="G49" s="1">
        <v>0</v>
      </c>
      <c r="H49" s="1">
        <v>1</v>
      </c>
    </row>
    <row r="50" spans="1:8" x14ac:dyDescent="0.35">
      <c r="A50">
        <v>44</v>
      </c>
      <c r="B50" t="s">
        <v>375</v>
      </c>
      <c r="C50" t="s">
        <v>349</v>
      </c>
      <c r="D50" s="1" t="s">
        <v>360</v>
      </c>
      <c r="F50" s="1">
        <v>1</v>
      </c>
      <c r="G50" s="1">
        <v>0</v>
      </c>
      <c r="H50" s="1">
        <v>1</v>
      </c>
    </row>
    <row r="51" spans="1:8" x14ac:dyDescent="0.35">
      <c r="A51">
        <v>45</v>
      </c>
      <c r="B51" t="s">
        <v>376</v>
      </c>
      <c r="C51" t="s">
        <v>349</v>
      </c>
      <c r="D51" s="1" t="s">
        <v>360</v>
      </c>
      <c r="F51" s="1">
        <v>1</v>
      </c>
      <c r="G51" s="1">
        <v>0</v>
      </c>
      <c r="H51" s="1">
        <v>1</v>
      </c>
    </row>
    <row r="52" spans="1:8" x14ac:dyDescent="0.35">
      <c r="A52">
        <v>46</v>
      </c>
      <c r="B52" t="s">
        <v>384</v>
      </c>
      <c r="C52" t="s">
        <v>349</v>
      </c>
      <c r="D52" s="1" t="s">
        <v>360</v>
      </c>
      <c r="F52" s="1">
        <v>1</v>
      </c>
      <c r="G52" s="1">
        <v>0</v>
      </c>
      <c r="H52" s="1">
        <v>1</v>
      </c>
    </row>
    <row r="53" spans="1:8" x14ac:dyDescent="0.35">
      <c r="A53">
        <v>47</v>
      </c>
      <c r="B53" t="s">
        <v>377</v>
      </c>
      <c r="C53" t="s">
        <v>349</v>
      </c>
      <c r="D53" s="1" t="s">
        <v>360</v>
      </c>
      <c r="F53" s="1">
        <v>1</v>
      </c>
      <c r="G53" s="1">
        <v>0</v>
      </c>
      <c r="H53" s="1">
        <v>1</v>
      </c>
    </row>
    <row r="54" spans="1:8" x14ac:dyDescent="0.35">
      <c r="A54">
        <v>48</v>
      </c>
      <c r="B54" t="s">
        <v>385</v>
      </c>
      <c r="C54" t="s">
        <v>349</v>
      </c>
      <c r="D54" s="1" t="s">
        <v>360</v>
      </c>
      <c r="F54" s="1">
        <v>1</v>
      </c>
      <c r="G54" s="1">
        <v>0</v>
      </c>
      <c r="H54" s="1">
        <v>1</v>
      </c>
    </row>
    <row r="55" spans="1:8" x14ac:dyDescent="0.35">
      <c r="A55">
        <v>49</v>
      </c>
      <c r="B55" t="s">
        <v>378</v>
      </c>
      <c r="C55" t="s">
        <v>347</v>
      </c>
      <c r="D55" s="1" t="s">
        <v>360</v>
      </c>
      <c r="E55" t="s">
        <v>386</v>
      </c>
      <c r="F55" s="1">
        <v>1</v>
      </c>
      <c r="G55" s="1">
        <v>1</v>
      </c>
      <c r="H55" s="1">
        <v>0</v>
      </c>
    </row>
    <row r="56" spans="1:8" x14ac:dyDescent="0.35">
      <c r="A56">
        <v>50</v>
      </c>
      <c r="B56" t="s">
        <v>371</v>
      </c>
      <c r="C56" t="s">
        <v>347</v>
      </c>
      <c r="D56" s="1" t="s">
        <v>360</v>
      </c>
      <c r="F56" s="1">
        <v>1</v>
      </c>
      <c r="G56" s="1">
        <v>1</v>
      </c>
      <c r="H56" s="1">
        <v>0</v>
      </c>
    </row>
    <row r="57" spans="1:8" x14ac:dyDescent="0.35">
      <c r="A57">
        <v>51</v>
      </c>
      <c r="B57" t="s">
        <v>387</v>
      </c>
      <c r="C57" t="s">
        <v>347</v>
      </c>
      <c r="D57" s="1" t="s">
        <v>360</v>
      </c>
      <c r="F57" s="1">
        <v>1</v>
      </c>
      <c r="G57" s="1">
        <v>1</v>
      </c>
      <c r="H57" s="1">
        <v>0</v>
      </c>
    </row>
    <row r="58" spans="1:8" x14ac:dyDescent="0.35">
      <c r="A58">
        <v>52</v>
      </c>
      <c r="B58" t="s">
        <v>365</v>
      </c>
      <c r="C58" t="s">
        <v>347</v>
      </c>
      <c r="D58" s="1" t="s">
        <v>360</v>
      </c>
      <c r="F58" s="1">
        <v>1</v>
      </c>
      <c r="G58" s="1">
        <v>1</v>
      </c>
      <c r="H58" s="1">
        <v>0</v>
      </c>
    </row>
    <row r="59" spans="1:8" x14ac:dyDescent="0.35">
      <c r="A59">
        <v>53</v>
      </c>
      <c r="B59" t="s">
        <v>388</v>
      </c>
      <c r="C59" t="s">
        <v>347</v>
      </c>
      <c r="D59" s="1" t="s">
        <v>360</v>
      </c>
      <c r="F59" s="1">
        <v>4</v>
      </c>
      <c r="G59" s="1">
        <v>4</v>
      </c>
      <c r="H59" s="1">
        <v>0</v>
      </c>
    </row>
    <row r="60" spans="1:8" x14ac:dyDescent="0.35">
      <c r="A60">
        <v>54</v>
      </c>
      <c r="B60" t="s">
        <v>388</v>
      </c>
      <c r="C60" t="s">
        <v>347</v>
      </c>
      <c r="D60" s="1" t="s">
        <v>360</v>
      </c>
      <c r="E60" t="s">
        <v>389</v>
      </c>
      <c r="F60" s="1">
        <v>2</v>
      </c>
      <c r="G60" s="1">
        <v>2</v>
      </c>
      <c r="H60" s="1">
        <v>0</v>
      </c>
    </row>
    <row r="61" spans="1:8" x14ac:dyDescent="0.35">
      <c r="A61">
        <v>55</v>
      </c>
      <c r="B61" t="s">
        <v>390</v>
      </c>
      <c r="C61" t="s">
        <v>347</v>
      </c>
      <c r="D61" s="1" t="s">
        <v>360</v>
      </c>
      <c r="E61" t="s">
        <v>386</v>
      </c>
      <c r="F61" s="1">
        <v>7</v>
      </c>
      <c r="G61" s="1">
        <v>4</v>
      </c>
      <c r="H61" s="1">
        <v>3</v>
      </c>
    </row>
    <row r="62" spans="1:8" x14ac:dyDescent="0.35">
      <c r="A62">
        <v>56</v>
      </c>
      <c r="B62" t="s">
        <v>390</v>
      </c>
      <c r="C62" t="s">
        <v>347</v>
      </c>
      <c r="D62" s="1" t="s">
        <v>360</v>
      </c>
      <c r="E62" t="s">
        <v>386</v>
      </c>
      <c r="F62" s="1">
        <v>2</v>
      </c>
      <c r="G62" s="1">
        <v>1</v>
      </c>
      <c r="H62" s="1">
        <v>1</v>
      </c>
    </row>
    <row r="63" spans="1:8" x14ac:dyDescent="0.35">
      <c r="A63">
        <v>57</v>
      </c>
      <c r="B63" t="s">
        <v>381</v>
      </c>
      <c r="C63" t="s">
        <v>347</v>
      </c>
      <c r="D63" s="1" t="s">
        <v>360</v>
      </c>
      <c r="E63" t="s">
        <v>391</v>
      </c>
      <c r="F63" s="1">
        <v>1</v>
      </c>
      <c r="G63" s="1">
        <v>1</v>
      </c>
      <c r="H63" s="1">
        <v>0</v>
      </c>
    </row>
    <row r="64" spans="1:8" x14ac:dyDescent="0.35">
      <c r="A64">
        <v>58</v>
      </c>
      <c r="B64" t="s">
        <v>392</v>
      </c>
      <c r="C64" t="s">
        <v>347</v>
      </c>
      <c r="D64" s="1" t="s">
        <v>360</v>
      </c>
      <c r="E64" t="s">
        <v>393</v>
      </c>
      <c r="F64" s="1">
        <v>1</v>
      </c>
      <c r="G64" s="1">
        <v>1</v>
      </c>
      <c r="H64" s="1">
        <v>0</v>
      </c>
    </row>
    <row r="65" spans="1:8" x14ac:dyDescent="0.35">
      <c r="A65">
        <v>59</v>
      </c>
      <c r="B65" t="s">
        <v>394</v>
      </c>
      <c r="C65" t="s">
        <v>347</v>
      </c>
      <c r="D65" s="1" t="s">
        <v>360</v>
      </c>
      <c r="E65" t="s">
        <v>395</v>
      </c>
      <c r="F65" s="1">
        <v>1</v>
      </c>
      <c r="G65" s="1">
        <v>1</v>
      </c>
      <c r="H65" s="1">
        <v>0</v>
      </c>
    </row>
    <row r="66" spans="1:8" x14ac:dyDescent="0.35">
      <c r="A66">
        <v>60</v>
      </c>
      <c r="B66" t="s">
        <v>396</v>
      </c>
      <c r="C66" t="s">
        <v>347</v>
      </c>
      <c r="D66" s="1" t="s">
        <v>360</v>
      </c>
      <c r="E66" t="s">
        <v>397</v>
      </c>
      <c r="F66" s="1">
        <v>1</v>
      </c>
      <c r="G66" s="1">
        <v>1</v>
      </c>
      <c r="H66" s="1">
        <v>0</v>
      </c>
    </row>
    <row r="67" spans="1:8" x14ac:dyDescent="0.35">
      <c r="A67">
        <v>61</v>
      </c>
      <c r="B67" t="s">
        <v>398</v>
      </c>
      <c r="C67" t="s">
        <v>347</v>
      </c>
      <c r="D67" s="1" t="s">
        <v>360</v>
      </c>
      <c r="E67" t="s">
        <v>399</v>
      </c>
      <c r="F67" s="1">
        <v>5</v>
      </c>
      <c r="G67" s="1">
        <v>5</v>
      </c>
      <c r="H67" s="1">
        <v>0</v>
      </c>
    </row>
    <row r="68" spans="1:8" x14ac:dyDescent="0.35">
      <c r="A68">
        <v>62</v>
      </c>
      <c r="B68" t="s">
        <v>398</v>
      </c>
      <c r="C68" t="s">
        <v>347</v>
      </c>
      <c r="D68" s="1" t="s">
        <v>360</v>
      </c>
      <c r="E68" t="s">
        <v>400</v>
      </c>
      <c r="F68" s="1">
        <v>10</v>
      </c>
      <c r="G68" s="1">
        <v>10</v>
      </c>
      <c r="H68" s="1">
        <v>0</v>
      </c>
    </row>
    <row r="69" spans="1:8" x14ac:dyDescent="0.35">
      <c r="A69">
        <v>63</v>
      </c>
      <c r="B69" t="s">
        <v>383</v>
      </c>
      <c r="C69" t="s">
        <v>347</v>
      </c>
      <c r="D69" s="1" t="s">
        <v>360</v>
      </c>
      <c r="F69" s="1">
        <v>1</v>
      </c>
      <c r="G69" s="1">
        <v>1</v>
      </c>
      <c r="H69" s="1">
        <v>0</v>
      </c>
    </row>
    <row r="70" spans="1:8" x14ac:dyDescent="0.35">
      <c r="A70">
        <v>64</v>
      </c>
      <c r="B70" t="s">
        <v>371</v>
      </c>
      <c r="C70" t="s">
        <v>350</v>
      </c>
      <c r="D70" s="1" t="s">
        <v>360</v>
      </c>
      <c r="F70" s="1">
        <v>1</v>
      </c>
      <c r="G70" s="1">
        <v>0</v>
      </c>
      <c r="H70" s="1">
        <v>1</v>
      </c>
    </row>
    <row r="71" spans="1:8" x14ac:dyDescent="0.35">
      <c r="A71">
        <v>65</v>
      </c>
      <c r="B71" t="s">
        <v>375</v>
      </c>
      <c r="C71" t="s">
        <v>350</v>
      </c>
      <c r="D71" s="1" t="s">
        <v>360</v>
      </c>
      <c r="F71" s="1">
        <v>1</v>
      </c>
      <c r="G71" s="1">
        <v>0</v>
      </c>
      <c r="H71" s="1">
        <v>1</v>
      </c>
    </row>
    <row r="72" spans="1:8" x14ac:dyDescent="0.35">
      <c r="A72">
        <v>66</v>
      </c>
      <c r="B72" t="s">
        <v>376</v>
      </c>
      <c r="C72" t="s">
        <v>350</v>
      </c>
      <c r="D72" s="1" t="s">
        <v>360</v>
      </c>
      <c r="F72" s="1">
        <v>1</v>
      </c>
      <c r="G72" s="1">
        <v>0</v>
      </c>
      <c r="H72" s="1">
        <v>1</v>
      </c>
    </row>
    <row r="73" spans="1:8" x14ac:dyDescent="0.35">
      <c r="A73">
        <v>67</v>
      </c>
      <c r="B73" t="s">
        <v>401</v>
      </c>
      <c r="C73" t="s">
        <v>350</v>
      </c>
      <c r="D73" s="1" t="s">
        <v>360</v>
      </c>
      <c r="E73">
        <v>1</v>
      </c>
      <c r="F73" s="1">
        <v>1</v>
      </c>
      <c r="G73" s="1">
        <v>0</v>
      </c>
      <c r="H73" s="1">
        <v>1</v>
      </c>
    </row>
    <row r="74" spans="1:8" x14ac:dyDescent="0.35">
      <c r="A74">
        <v>68</v>
      </c>
      <c r="B74" t="s">
        <v>384</v>
      </c>
      <c r="C74" t="s">
        <v>350</v>
      </c>
      <c r="D74" s="1" t="s">
        <v>360</v>
      </c>
      <c r="F74" s="1">
        <v>1</v>
      </c>
      <c r="G74" s="1">
        <v>0</v>
      </c>
      <c r="H74" s="1">
        <v>1</v>
      </c>
    </row>
    <row r="75" spans="1:8" x14ac:dyDescent="0.35">
      <c r="A75">
        <v>69</v>
      </c>
      <c r="B75" t="s">
        <v>377</v>
      </c>
      <c r="C75" t="s">
        <v>350</v>
      </c>
      <c r="D75" s="1" t="s">
        <v>360</v>
      </c>
      <c r="F75" s="1">
        <v>1</v>
      </c>
      <c r="G75" s="1">
        <v>0</v>
      </c>
      <c r="H75" s="1">
        <v>1</v>
      </c>
    </row>
    <row r="76" spans="1:8" x14ac:dyDescent="0.35">
      <c r="A76">
        <v>70</v>
      </c>
      <c r="B76" t="s">
        <v>385</v>
      </c>
      <c r="C76" t="s">
        <v>350</v>
      </c>
      <c r="D76" s="1" t="s">
        <v>360</v>
      </c>
      <c r="F76" s="1">
        <v>1</v>
      </c>
      <c r="G76" s="1">
        <v>0</v>
      </c>
      <c r="H76" s="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pane ySplit="6" topLeftCell="A7" activePane="bottomLeft" state="frozen"/>
      <selection pane="bottomLeft" activeCell="A7" sqref="A7"/>
    </sheetView>
  </sheetViews>
  <sheetFormatPr defaultColWidth="8.81640625" defaultRowHeight="14.5" x14ac:dyDescent="0.35"/>
  <cols>
    <col min="1" max="1" width="6.6328125" customWidth="1"/>
    <col min="2" max="2" width="16.453125" style="15" customWidth="1"/>
    <col min="3" max="3" width="33.1796875" style="15" customWidth="1"/>
    <col min="4" max="4" width="24.36328125" style="15" customWidth="1"/>
    <col min="5" max="5" width="31.36328125" style="15" customWidth="1"/>
    <col min="6" max="6" width="22.36328125" style="15" customWidth="1"/>
    <col min="7" max="7" width="27.36328125" style="15" customWidth="1"/>
  </cols>
  <sheetData>
    <row r="1" spans="1:7" ht="21" customHeight="1" x14ac:dyDescent="0.5">
      <c r="A1" s="2" t="s">
        <v>402</v>
      </c>
    </row>
    <row r="2" spans="1:7" ht="19" customHeight="1" x14ac:dyDescent="0.45">
      <c r="A2" s="3" t="s">
        <v>4</v>
      </c>
    </row>
    <row r="3" spans="1:7" x14ac:dyDescent="0.35">
      <c r="A3" t="s">
        <v>131</v>
      </c>
    </row>
    <row r="4" spans="1:7" x14ac:dyDescent="0.35">
      <c r="A4" t="s">
        <v>132</v>
      </c>
      <c r="D4" s="15" t="s">
        <v>133</v>
      </c>
    </row>
    <row r="6" spans="1:7" x14ac:dyDescent="0.35">
      <c r="A6" s="6" t="s">
        <v>134</v>
      </c>
      <c r="B6" s="6" t="s">
        <v>403</v>
      </c>
      <c r="C6" s="6" t="s">
        <v>404</v>
      </c>
      <c r="D6" s="6" t="s">
        <v>405</v>
      </c>
      <c r="E6" s="6" t="s">
        <v>406</v>
      </c>
      <c r="F6" s="6" t="s">
        <v>407</v>
      </c>
      <c r="G6" s="6" t="s">
        <v>408</v>
      </c>
    </row>
    <row r="7" spans="1:7" x14ac:dyDescent="0.35">
      <c r="A7">
        <v>1</v>
      </c>
      <c r="B7" s="15">
        <v>2022</v>
      </c>
      <c r="C7" s="15" t="s">
        <v>409</v>
      </c>
      <c r="D7" s="15" t="s">
        <v>410</v>
      </c>
      <c r="E7" s="15">
        <v>0</v>
      </c>
      <c r="F7" s="15">
        <v>0</v>
      </c>
      <c r="G7" s="15" t="s">
        <v>411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 SMP IT SYAIKH ABDURR</vt:lpstr>
      <vt:lpstr>PTK</vt:lpstr>
      <vt:lpstr>Peserta Didik</vt:lpstr>
      <vt:lpstr>Rombongan Belajar</vt:lpstr>
      <vt:lpstr>Prasarana</vt:lpstr>
      <vt:lpstr>Sarana</vt:lpstr>
      <vt:lpstr>Blockgrant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tanpa harta</cp:lastModifiedBy>
  <dcterms:created xsi:type="dcterms:W3CDTF">2016-07-29T10:09:00Z</dcterms:created>
  <dcterms:modified xsi:type="dcterms:W3CDTF">2026-07-22T00:18:25Z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